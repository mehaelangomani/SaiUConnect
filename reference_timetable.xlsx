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A Lab" sheetId="2" r:id="rId6"/>
    <sheet state="visible" name="FDE Lab" sheetId="3" r:id="rId7"/>
    <sheet state="visible" name="Emg Lab" sheetId="4" r:id="rId8"/>
    <sheet state="visible" name="C Lab" sheetId="5" r:id="rId9"/>
    <sheet state="visible" name="EFA Lab" sheetId="6" r:id="rId10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0"/>
    <col customWidth="1" min="4" max="4" width="33.0"/>
  </cols>
  <sheetData>
    <row r="1">
      <c r="A1" s="3" t="str">
        <f>IFERROR(__xludf.DUMMYFUNCTION("IMPORTRANGE(""1M3jl6_D3EBy-5b1xjv0RLgGaEMymcJAVr9RNnsxkVp0"",""'SemA Time Table from 03 August 2026'!A:ZZ"")"),"")</f>
        <v/>
      </c>
      <c r="B1" s="3"/>
      <c r="C1" s="3" t="str">
        <f>IFERROR(__xludf.DUMMYFUNCTION("""COMPUTED_VALUE"""),"Timetable -  Sem A 2026 - 27")</f>
        <v>Timetable -  Sem A 2026 - 27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 t="str">
        <f>IFERROR(__xludf.DUMMYFUNCTION("""COMPUTED_VALUE"""),"LAB Details")</f>
        <v>LAB Details</v>
      </c>
      <c r="T1" s="3"/>
      <c r="U1" s="3"/>
      <c r="V1" s="3"/>
      <c r="W1" s="3"/>
      <c r="X1" s="3"/>
      <c r="Y1" s="3"/>
      <c r="Z1" s="3"/>
    </row>
    <row r="2">
      <c r="A2" s="3"/>
      <c r="B2" s="3"/>
      <c r="C2" s="3" t="str">
        <f>IFERROR(__xludf.DUMMYFUNCTION("""COMPUTED_VALUE"""),"SCDS")</f>
        <v>SCDS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tr">
        <f>IFERROR(__xludf.DUMMYFUNCTION("""COMPUTED_VALUE"""),"MONDAY")</f>
        <v>MONDAY</v>
      </c>
      <c r="B3" s="3" t="str">
        <f>IFERROR(__xludf.DUMMYFUNCTION("""COMPUTED_VALUE"""),"09:15 AM -  10:10 AM")</f>
        <v>09:15 AM -  10:10 AM</v>
      </c>
      <c r="C3" s="3" t="str">
        <f>IFERROR(__xludf.DUMMYFUNCTION("""COMPUTED_VALUE"""),"Web Technology - Sec 4 - Rupam Sah")</f>
        <v>Web Technology - Sec 4 - Rupam Sah</v>
      </c>
      <c r="D3" s="3" t="str">
        <f>IFERROR(__xludf.DUMMYFUNCTION("""COMPUTED_VALUE"""),"Linear Algebra - Sec 1 - Dr. Beaula")</f>
        <v>Linear Algebra - Sec 1 - Dr. Beaula</v>
      </c>
      <c r="E3" s="3" t="str">
        <f>IFERROR(__xludf.DUMMYFUNCTION("""COMPUTED_VALUE"""),"Linear Algebra - Sec 3 - Dr. Tamilarasi")</f>
        <v>Linear Algebra - Sec 3 - Dr. Tamilarasi</v>
      </c>
      <c r="F3" s="3" t="str">
        <f>IFERROR(__xludf.DUMMYFUNCTION("""COMPUTED_VALUE"""),"Web Technology - Sec 5 - Aravind")</f>
        <v>Web Technology - Sec 5 - Aravind</v>
      </c>
      <c r="G3" s="3" t="str">
        <f>IFERROR(__xludf.DUMMYFUNCTION("""COMPUTED_VALUE"""),"Computer Networks - Sem 5 - Dr. Ashok")</f>
        <v>Computer Networks - Sem 5 - Dr. Ashok</v>
      </c>
      <c r="H3" s="3" t="str">
        <f>IFERROR(__xludf.DUMMYFUNCTION("""COMPUTED_VALUE"""),"Programming in C                  Ujjwal")</f>
        <v>Programming in C                  Ujjwal</v>
      </c>
      <c r="I3" s="3" t="str">
        <f>IFERROR(__xludf.DUMMYFUNCTION("""COMPUTED_VALUE"""),"Labour Law 2 (  )")</f>
        <v>Labour Law 2 (  )</v>
      </c>
      <c r="J3" s="3" t="str">
        <f>IFERROR(__xludf.DUMMYFUNCTION("""COMPUTED_VALUE"""),"Contitutional Law 2                     Dr. Sanjay Bang")</f>
        <v>Contitutional Law 2                     Dr. Sanjay Bang</v>
      </c>
      <c r="K3" s="3" t="str">
        <f>IFERROR(__xludf.DUMMYFUNCTION("""COMPUTED_VALUE"""),"Legal Methods                     Anjana Janardhanan")</f>
        <v>Legal Methods                     Anjana Janardhanan</v>
      </c>
      <c r="L3" s="3" t="str">
        <f>IFERROR(__xludf.DUMMYFUNCTION("""COMPUTED_VALUE"""),"Biostatistics                      Dr. Sivan")</f>
        <v>Biostatistics                      Dr. Sivan</v>
      </c>
      <c r="M3" s="3" t="str">
        <f>IFERROR(__xludf.DUMMYFUNCTION("""COMPUTED_VALUE"""),"Cell Physiology             Dr. Manobala / Moses")</f>
        <v>Cell Physiology             Dr. Manobala / Moses</v>
      </c>
      <c r="N3" s="3" t="str">
        <f>IFERROR(__xludf.DUMMYFUNCTION("""COMPUTED_VALUE"""),"Chemistry                                         Ms. karen")</f>
        <v>Chemistry                                         Ms. karen</v>
      </c>
      <c r="O3" s="3" t="str">
        <f>IFERROR(__xludf.DUMMYFUNCTION("""COMPUTED_VALUE"""),"Psychopathology I             Dr. Jemima")</f>
        <v>Psychopathology I             Dr. Jemima</v>
      </c>
      <c r="P3" s="3" t="str">
        <f>IFERROR(__xludf.DUMMYFUNCTION("""COMPUTED_VALUE"""),"Financial Reporting and Analysis                                   Surya C")</f>
        <v>Financial Reporting and Analysis                                   Surya C</v>
      </c>
      <c r="Q3" s="3" t="str">
        <f>IFERROR(__xludf.DUMMYFUNCTION("""COMPUTED_VALUE"""),"Human Resource Management   Subramaniam")</f>
        <v>Human Resource Management   Subramaniam</v>
      </c>
      <c r="R3" s="3" t="str">
        <f>IFERROR(__xludf.DUMMYFUNCTION("""COMPUTED_VALUE"""),"Differential Equations         ArunKumar")</f>
        <v>Differential Equations         ArunKumar</v>
      </c>
      <c r="S3" s="3" t="str">
        <f>IFERROR(__xludf.DUMMYFUNCTION("""COMPUTED_VALUE"""),"Conflicts in Contemporary International Relations   Dr. Sridhar Krishnaswamy")</f>
        <v>Conflicts in Contemporary International Relations   Dr. Sridhar Krishnaswamy</v>
      </c>
      <c r="T3" s="3"/>
      <c r="U3" s="3"/>
      <c r="V3" s="3"/>
      <c r="W3" s="3"/>
      <c r="X3" s="3"/>
      <c r="Y3" s="3"/>
      <c r="Z3" s="3"/>
    </row>
    <row r="4">
      <c r="A4" s="3"/>
      <c r="B4" s="3"/>
      <c r="C4" s="3" t="str">
        <f>IFERROR(__xludf.DUMMYFUNCTION("""COMPUTED_VALUE"""),"AB2  -  101")</f>
        <v>AB2  -  101</v>
      </c>
      <c r="D4" s="3" t="str">
        <f>IFERROR(__xludf.DUMMYFUNCTION("""COMPUTED_VALUE"""),"AB2  -  203")</f>
        <v>AB2  -  203</v>
      </c>
      <c r="E4" s="3" t="str">
        <f>IFERROR(__xludf.DUMMYFUNCTION("""COMPUTED_VALUE"""),"AB2 - 202")</f>
        <v>AB2 - 202</v>
      </c>
      <c r="F4" s="3" t="str">
        <f>IFERROR(__xludf.DUMMYFUNCTION("""COMPUTED_VALUE"""),"AB1 - 101")</f>
        <v>AB1 - 101</v>
      </c>
      <c r="G4" s="3" t="str">
        <f>IFERROR(__xludf.DUMMYFUNCTION("""COMPUTED_VALUE"""),"AB2  -  207")</f>
        <v>AB2  -  207</v>
      </c>
      <c r="H4" s="3" t="str">
        <f>IFERROR(__xludf.DUMMYFUNCTION("""COMPUTED_VALUE"""),"AB2 - 205")</f>
        <v>AB2 - 205</v>
      </c>
      <c r="I4" s="3" t="str">
        <f>IFERROR(__xludf.DUMMYFUNCTION("""COMPUTED_VALUE"""),"AB2 - 206")</f>
        <v>AB2 - 206</v>
      </c>
      <c r="J4" s="3" t="str">
        <f>IFERROR(__xludf.DUMMYFUNCTION("""COMPUTED_VALUE"""),"AB2  -  210")</f>
        <v>AB2  -  210</v>
      </c>
      <c r="K4" s="3" t="str">
        <f>IFERROR(__xludf.DUMMYFUNCTION("""COMPUTED_VALUE"""),"AB1 - 201")</f>
        <v>AB1 - 201</v>
      </c>
      <c r="L4" s="3" t="str">
        <f>IFERROR(__xludf.DUMMYFUNCTION("""COMPUTED_VALUE"""),"AB2 - 204")</f>
        <v>AB2 - 204</v>
      </c>
      <c r="M4" s="3" t="str">
        <f>IFERROR(__xludf.DUMMYFUNCTION("""COMPUTED_VALUE"""),"AB2 - 209")</f>
        <v>AB2 - 209</v>
      </c>
      <c r="N4" s="3" t="str">
        <f>IFERROR(__xludf.DUMMYFUNCTION("""COMPUTED_VALUE"""),"AB2 - 201")</f>
        <v>AB2 - 201</v>
      </c>
      <c r="O4" s="3" t="str">
        <f>IFERROR(__xludf.DUMMYFUNCTION("""COMPUTED_VALUE"""),"AB2 - Faculty Conference Room")</f>
        <v>AB2 - Faculty Conference Room</v>
      </c>
      <c r="P4" s="3" t="str">
        <f>IFERROR(__xludf.DUMMYFUNCTION("""COMPUTED_VALUE"""),"AB1 - 103")</f>
        <v>AB1 - 103</v>
      </c>
      <c r="Q4" s="3" t="str">
        <f>IFERROR(__xludf.DUMMYFUNCTION("""COMPUTED_VALUE"""),"AB2 - 211")</f>
        <v>AB2 - 211</v>
      </c>
      <c r="R4" s="3" t="str">
        <f>IFERROR(__xludf.DUMMYFUNCTION("""COMPUTED_VALUE"""),"AB1 - 104")</f>
        <v>AB1 - 104</v>
      </c>
      <c r="S4" s="3"/>
      <c r="T4" s="3"/>
      <c r="U4" s="3"/>
      <c r="V4" s="3"/>
      <c r="W4" s="3"/>
      <c r="X4" s="3"/>
      <c r="Y4" s="3"/>
      <c r="Z4" s="3"/>
    </row>
    <row r="5">
      <c r="A5" s="3"/>
      <c r="B5" s="3" t="str">
        <f>IFERROR(__xludf.DUMMYFUNCTION("""COMPUTED_VALUE"""),"10:15 AM -  11:10 AM")</f>
        <v>10:15 AM -  11:10 AM</v>
      </c>
      <c r="C5" s="3" t="str">
        <f>IFERROR(__xludf.DUMMYFUNCTION("""COMPUTED_VALUE"""),"Design and analysis of algorithms - Sec 6 - Dr.Angel")</f>
        <v>Design and analysis of algorithms - Sec 6 - Dr.Angel</v>
      </c>
      <c r="D5" s="3" t="str">
        <f>IFERROR(__xludf.DUMMYFUNCTION("""COMPUTED_VALUE"""),"Linear Algebra - Sec 1 - Dr. Beaula")</f>
        <v>Linear Algebra - Sec 1 - Dr. Beaula</v>
      </c>
      <c r="E5" s="3" t="str">
        <f>IFERROR(__xludf.DUMMYFUNCTION("""COMPUTED_VALUE"""),"Linear Algebra - Sec 3 - Dr. Tamilarasi")</f>
        <v>Linear Algebra - Sec 3 - Dr. Tamilarasi</v>
      </c>
      <c r="F5" s="3" t="str">
        <f>IFERROR(__xludf.DUMMYFUNCTION("""COMPUTED_VALUE"""),"Web Technology - Sec 5 - Aravind")</f>
        <v>Web Technology - Sec 5 - Aravind</v>
      </c>
      <c r="G5" s="3" t="str">
        <f>IFERROR(__xludf.DUMMYFUNCTION("""COMPUTED_VALUE"""),"Computer Networks - Sem 5 - Dr. Ashok")</f>
        <v>Computer Networks - Sem 5 - Dr. Ashok</v>
      </c>
      <c r="H5" s="3" t="str">
        <f>IFERROR(__xludf.DUMMYFUNCTION("""COMPUTED_VALUE"""),"Engineering Foundations and Applications - Sem1 - Joydeep")</f>
        <v>Engineering Foundations and Applications - Sem1 - Joydeep</v>
      </c>
      <c r="I5" s="3" t="str">
        <f>IFERROR(__xludf.DUMMYFUNCTION("""COMPUTED_VALUE"""),"Cell Physiology             Dr. Manobala / Moses")</f>
        <v>Cell Physiology             Dr. Manobala / Moses</v>
      </c>
      <c r="J5" s="3" t="str">
        <f>IFERROR(__xludf.DUMMYFUNCTION("""COMPUTED_VALUE"""),"Fundamentals of Biotechnology    Dr. Vigneshwaran")</f>
        <v>Fundamentals of Biotechnology    Dr. Vigneshwaran</v>
      </c>
      <c r="K5" s="3" t="str">
        <f>IFERROR(__xludf.DUMMYFUNCTION("""COMPUTED_VALUE"""),"Law of Evidence                     Jaisy George")</f>
        <v>Law of Evidence                     Jaisy George</v>
      </c>
      <c r="L5" s="3" t="str">
        <f>IFERROR(__xludf.DUMMYFUNCTION("""COMPUTED_VALUE"""),"Competition Law - Nasma Sultana")</f>
        <v>Competition Law - Nasma Sultana</v>
      </c>
      <c r="M5" s="3" t="str">
        <f>IFERROR(__xludf.DUMMYFUNCTION("""COMPUTED_VALUE"""),"Operations Research           Dr. Sivan")</f>
        <v>Operations Research           Dr. Sivan</v>
      </c>
      <c r="N5" s="3" t="str">
        <f>IFERROR(__xludf.DUMMYFUNCTION("""COMPUTED_VALUE"""),"Political Science 1                        Dr. Sridhar Krishnaswamy")</f>
        <v>Political Science 1                        Dr. Sridhar Krishnaswamy</v>
      </c>
      <c r="O5" s="3" t="str">
        <f>IFERROR(__xludf.DUMMYFUNCTION("""COMPUTED_VALUE"""),"Financial Reporting and Analysis                                         Surya Krish")</f>
        <v>Financial Reporting and Analysis                                         Surya Krish</v>
      </c>
      <c r="P5" s="3" t="str">
        <f>IFERROR(__xludf.DUMMYFUNCTION("""COMPUTED_VALUE"""),"Community Psychology  Mridula")</f>
        <v>Community Psychology  Mridula</v>
      </c>
      <c r="Q5" s="3" t="str">
        <f>IFERROR(__xludf.DUMMYFUNCTION("""COMPUTED_VALUE"""),"Fundamentals of Business Organization  &amp; Management  Subramaniam")</f>
        <v>Fundamentals of Business Organization  &amp; Management  Subramaniam</v>
      </c>
      <c r="R5" s="3" t="str">
        <f>IFERROR(__xludf.DUMMYFUNCTION("""COMPUTED_VALUE"""),"Frontiers of Machine Learning   Pankaj Jain")</f>
        <v>Frontiers of Machine Learning   Pankaj Jain</v>
      </c>
      <c r="S5" s="3" t="str">
        <f>IFERROR(__xludf.DUMMYFUNCTION("""COMPUTED_VALUE"""),"Introduction to Zoology    Dr. Anil / Ms. Shimantika")</f>
        <v>Introduction to Zoology    Dr. Anil / Ms. Shimantika</v>
      </c>
      <c r="T5" s="3"/>
      <c r="U5" s="3"/>
      <c r="V5" s="3"/>
      <c r="W5" s="3"/>
      <c r="X5" s="3"/>
      <c r="Y5" s="3"/>
      <c r="Z5" s="3"/>
    </row>
    <row r="6">
      <c r="A6" s="3"/>
      <c r="B6" s="3"/>
      <c r="C6" s="3" t="str">
        <f>IFERROR(__xludf.DUMMYFUNCTION("""COMPUTED_VALUE"""),"AB2  -  101")</f>
        <v>AB2  -  101</v>
      </c>
      <c r="D6" s="3" t="str">
        <f>IFERROR(__xludf.DUMMYFUNCTION("""COMPUTED_VALUE"""),"AB2  -  203")</f>
        <v>AB2  -  203</v>
      </c>
      <c r="E6" s="3" t="str">
        <f>IFERROR(__xludf.DUMMYFUNCTION("""COMPUTED_VALUE"""),"AB2 - 202")</f>
        <v>AB2 - 202</v>
      </c>
      <c r="F6" s="3" t="str">
        <f>IFERROR(__xludf.DUMMYFUNCTION("""COMPUTED_VALUE"""),"AB1 - 101")</f>
        <v>AB1 - 101</v>
      </c>
      <c r="G6" s="3" t="str">
        <f>IFERROR(__xludf.DUMMYFUNCTION("""COMPUTED_VALUE"""),"AB2  -  207")</f>
        <v>AB2  -  207</v>
      </c>
      <c r="H6" s="3" t="str">
        <f>IFERROR(__xludf.DUMMYFUNCTION("""COMPUTED_VALUE"""),"AB2 - 205")</f>
        <v>AB2 - 205</v>
      </c>
      <c r="I6" s="3" t="str">
        <f>IFERROR(__xludf.DUMMYFUNCTION("""COMPUTED_VALUE"""),"AB2 - 206")</f>
        <v>AB2 - 206</v>
      </c>
      <c r="J6" s="3" t="str">
        <f>IFERROR(__xludf.DUMMYFUNCTION("""COMPUTED_VALUE"""),"AB2  -  210")</f>
        <v>AB2  -  210</v>
      </c>
      <c r="K6" s="3" t="str">
        <f>IFERROR(__xludf.DUMMYFUNCTION("""COMPUTED_VALUE"""),"AB1 - 201")</f>
        <v>AB1 - 201</v>
      </c>
      <c r="L6" s="3" t="str">
        <f>IFERROR(__xludf.DUMMYFUNCTION("""COMPUTED_VALUE"""),"AB2 - 204")</f>
        <v>AB2 - 204</v>
      </c>
      <c r="M6" s="3" t="str">
        <f>IFERROR(__xludf.DUMMYFUNCTION("""COMPUTED_VALUE"""),"AB2 - 209")</f>
        <v>AB2 - 209</v>
      </c>
      <c r="N6" s="3" t="str">
        <f>IFERROR(__xludf.DUMMYFUNCTION("""COMPUTED_VALUE"""),"AB2 - 201")</f>
        <v>AB2 - 201</v>
      </c>
      <c r="O6" s="3" t="str">
        <f>IFERROR(__xludf.DUMMYFUNCTION("""COMPUTED_VALUE"""),"AB2 - 211")</f>
        <v>AB2 - 211</v>
      </c>
      <c r="P6" s="3" t="str">
        <f>IFERROR(__xludf.DUMMYFUNCTION("""COMPUTED_VALUE"""),"AB1 - 102")</f>
        <v>AB1 - 102</v>
      </c>
      <c r="Q6" s="3" t="str">
        <f>IFERROR(__xludf.DUMMYFUNCTION("""COMPUTED_VALUE"""),"AB1 - 103")</f>
        <v>AB1 - 103</v>
      </c>
      <c r="R6" s="3" t="str">
        <f>IFERROR(__xludf.DUMMYFUNCTION("""COMPUTED_VALUE"""),"Lab")</f>
        <v>Lab</v>
      </c>
      <c r="S6" s="3" t="str">
        <f>IFERROR(__xludf.DUMMYFUNCTION("""COMPUTED_VALUE"""),"Biotech Lab")</f>
        <v>Biotech Lab</v>
      </c>
      <c r="T6" s="3"/>
      <c r="U6" s="3"/>
      <c r="V6" s="3"/>
      <c r="W6" s="3"/>
      <c r="X6" s="3"/>
      <c r="Y6" s="3"/>
      <c r="Z6" s="3"/>
    </row>
    <row r="7">
      <c r="A7" s="3"/>
      <c r="B7" s="3" t="str">
        <f>IFERROR(__xludf.DUMMYFUNCTION("""COMPUTED_VALUE"""),"11.15 AM - 12.10 PM")</f>
        <v>11.15 AM - 12.10 PM</v>
      </c>
      <c r="C7" s="3" t="str">
        <f>IFERROR(__xludf.DUMMYFUNCTION("""COMPUTED_VALUE"""),"Linear Algebra - Sec 5 - Dr. Sangeetha")</f>
        <v>Linear Algebra - Sec 5 - Dr. Sangeetha</v>
      </c>
      <c r="D7" s="3" t="str">
        <f>IFERROR(__xludf.DUMMYFUNCTION("""COMPUTED_VALUE"""),"Web Technology - Sec 1 - Ujjwal")</f>
        <v>Web Technology - Sec 1 - Ujjwal</v>
      </c>
      <c r="E7" s="3" t="str">
        <f>IFERROR(__xludf.DUMMYFUNCTION("""COMPUTED_VALUE"""),"Foundation of Data Engineering - Sec 4 - Mariya")</f>
        <v>Foundation of Data Engineering - Sec 4 - Mariya</v>
      </c>
      <c r="F7" s="3" t="str">
        <f>IFERROR(__xludf.DUMMYFUNCTION("""COMPUTED_VALUE"""),"Clinical Neuroscience     Dr. Anil")</f>
        <v>Clinical Neuroscience     Dr. Anil</v>
      </c>
      <c r="G7" s="3" t="str">
        <f>IFERROR(__xludf.DUMMYFUNCTION("""COMPUTED_VALUE"""),"Design and analysis of algorithms - Sec 7 - Dr.Angel")</f>
        <v>Design and analysis of algorithms - Sec 7 - Dr.Angel</v>
      </c>
      <c r="H7" s="3" t="str">
        <f>IFERROR(__xludf.DUMMYFUNCTION("""COMPUTED_VALUE"""),"Applied Mathematics - Sem1 - Dr. Beaula")</f>
        <v>Applied Mathematics - Sem1 - Dr. Beaula</v>
      </c>
      <c r="I7" s="3" t="str">
        <f>IFERROR(__xludf.DUMMYFUNCTION("""COMPUTED_VALUE"""),"Media Law                                      Dr. Sanjeev")</f>
        <v>Media Law                                      Dr. Sanjeev</v>
      </c>
      <c r="J7" s="3" t="str">
        <f>IFERROR(__xludf.DUMMYFUNCTION("""COMPUTED_VALUE"""),"Fundamentals of Biotechnology    Dr. Vigneshwaran")</f>
        <v>Fundamentals of Biotechnology    Dr. Vigneshwaran</v>
      </c>
      <c r="K7" s="3" t="str">
        <f>IFERROR(__xludf.DUMMYFUNCTION("""COMPUTED_VALUE"""),"Psychopathology  II                     Dr. Jemima")</f>
        <v>Psychopathology  II                     Dr. Jemima</v>
      </c>
      <c r="L7" s="3" t="str">
        <f>IFERROR(__xludf.DUMMYFUNCTION("""COMPUTED_VALUE"""),"Securities Law - Anand Shrivas")</f>
        <v>Securities Law - Anand Shrivas</v>
      </c>
      <c r="M7" s="3" t="str">
        <f>IFERROR(__xludf.DUMMYFUNCTION("""COMPUTED_VALUE"""),"Developmental Psychology                                  Dr. Maya")</f>
        <v>Developmental Psychology                                  Dr. Maya</v>
      </c>
      <c r="N7" s="3" t="str">
        <f>IFERROR(__xludf.DUMMYFUNCTION("""COMPUTED_VALUE"""),"Political Science 1                        Dr. Sridhar Krishnaswamy")</f>
        <v>Political Science 1                        Dr. Sridhar Krishnaswamy</v>
      </c>
      <c r="O7" s="3" t="str">
        <f>IFERROR(__xludf.DUMMYFUNCTION("""COMPUTED_VALUE"""),"Business Mathematics and Statistics                                      Surya C")</f>
        <v>Business Mathematics and Statistics                                      Surya C</v>
      </c>
      <c r="P7" s="3" t="str">
        <f>IFERROR(__xludf.DUMMYFUNCTION("""COMPUTED_VALUE"""),"Human Resource Management   Subramaniam")</f>
        <v>Human Resource Management   Subramaniam</v>
      </c>
      <c r="Q7" s="3"/>
      <c r="R7" s="3" t="str">
        <f>IFERROR(__xludf.DUMMYFUNCTION("""COMPUTED_VALUE"""),"Frontiers of Machine Learning   Pankaj Jain")</f>
        <v>Frontiers of Machine Learning   Pankaj Jain</v>
      </c>
      <c r="S7" s="3" t="str">
        <f>IFERROR(__xludf.DUMMYFUNCTION("""COMPUTED_VALUE"""),"Introduction to Zoology    Dr. Anil / Ms. Shimantika")</f>
        <v>Introduction to Zoology    Dr. Anil / Ms. Shimantika</v>
      </c>
      <c r="T7" s="3"/>
      <c r="U7" s="3"/>
      <c r="V7" s="3"/>
      <c r="W7" s="3"/>
      <c r="X7" s="3"/>
      <c r="Y7" s="3"/>
      <c r="Z7" s="3"/>
    </row>
    <row r="8">
      <c r="A8" s="3"/>
      <c r="B8" s="3"/>
      <c r="C8" s="3" t="str">
        <f>IFERROR(__xludf.DUMMYFUNCTION("""COMPUTED_VALUE"""),"AB2  -  101")</f>
        <v>AB2  -  101</v>
      </c>
      <c r="D8" s="3" t="str">
        <f>IFERROR(__xludf.DUMMYFUNCTION("""COMPUTED_VALUE"""),"AB2  -  203")</f>
        <v>AB2  -  203</v>
      </c>
      <c r="E8" s="3" t="str">
        <f>IFERROR(__xludf.DUMMYFUNCTION("""COMPUTED_VALUE"""),"AB2 - 202")</f>
        <v>AB2 - 202</v>
      </c>
      <c r="F8" s="3" t="str">
        <f>IFERROR(__xludf.DUMMYFUNCTION("""COMPUTED_VALUE"""),"AB1 - 101")</f>
        <v>AB1 - 101</v>
      </c>
      <c r="G8" s="3" t="str">
        <f>IFERROR(__xludf.DUMMYFUNCTION("""COMPUTED_VALUE"""),"AB2  -  207")</f>
        <v>AB2  -  207</v>
      </c>
      <c r="H8" s="3" t="str">
        <f>IFERROR(__xludf.DUMMYFUNCTION("""COMPUTED_VALUE"""),"AB2 - 205")</f>
        <v>AB2 - 205</v>
      </c>
      <c r="I8" s="3" t="str">
        <f>IFERROR(__xludf.DUMMYFUNCTION("""COMPUTED_VALUE"""),"AB2 - 206")</f>
        <v>AB2 - 206</v>
      </c>
      <c r="J8" s="3" t="str">
        <f>IFERROR(__xludf.DUMMYFUNCTION("""COMPUTED_VALUE"""),"AB2  -  210")</f>
        <v>AB2  -  210</v>
      </c>
      <c r="K8" s="3" t="str">
        <f>IFERROR(__xludf.DUMMYFUNCTION("""COMPUTED_VALUE"""),"AB1 - 201")</f>
        <v>AB1 - 201</v>
      </c>
      <c r="L8" s="3" t="str">
        <f>IFERROR(__xludf.DUMMYFUNCTION("""COMPUTED_VALUE"""),"AB2 - 204")</f>
        <v>AB2 - 204</v>
      </c>
      <c r="M8" s="3" t="str">
        <f>IFERROR(__xludf.DUMMYFUNCTION("""COMPUTED_VALUE"""),"AB2 - 209")</f>
        <v>AB2 - 209</v>
      </c>
      <c r="N8" s="3" t="str">
        <f>IFERROR(__xludf.DUMMYFUNCTION("""COMPUTED_VALUE"""),"AB2 - 201")</f>
        <v>AB2 - 201</v>
      </c>
      <c r="O8" s="3" t="str">
        <f>IFERROR(__xludf.DUMMYFUNCTION("""COMPUTED_VALUE"""),"AB2 - 211")</f>
        <v>AB2 - 211</v>
      </c>
      <c r="P8" s="3" t="str">
        <f>IFERROR(__xludf.DUMMYFUNCTION("""COMPUTED_VALUE"""),"AB1 - 103")</f>
        <v>AB1 - 103</v>
      </c>
      <c r="Q8" s="3" t="str">
        <f>IFERROR(__xludf.DUMMYFUNCTION("""COMPUTED_VALUE"""),"AB1 - 102")</f>
        <v>AB1 - 102</v>
      </c>
      <c r="R8" s="3" t="str">
        <f>IFERROR(__xludf.DUMMYFUNCTION("""COMPUTED_VALUE"""),"Lab")</f>
        <v>Lab</v>
      </c>
      <c r="S8" s="3" t="str">
        <f>IFERROR(__xludf.DUMMYFUNCTION("""COMPUTED_VALUE"""),"Biotech Lab")</f>
        <v>Biotech Lab</v>
      </c>
      <c r="T8" s="3"/>
      <c r="U8" s="3"/>
      <c r="V8" s="3"/>
      <c r="W8" s="3"/>
      <c r="X8" s="3"/>
      <c r="Y8" s="3"/>
      <c r="Z8" s="3"/>
    </row>
    <row r="9">
      <c r="A9" s="3"/>
      <c r="B9" s="3" t="str">
        <f>IFERROR(__xludf.DUMMYFUNCTION("""COMPUTED_VALUE"""),"12:15 PM -  12:55 PM")</f>
        <v>12:15 PM -  12:55 PM</v>
      </c>
      <c r="C9" s="3" t="str">
        <f>IFERROR(__xludf.DUMMYFUNCTION("""COMPUTED_VALUE"""),"LUNCH BREAK")</f>
        <v>LUNCH BREAK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 t="str">
        <f>IFERROR(__xludf.DUMMYFUNCTION("""COMPUTED_VALUE"""),"12.15 PM - 01.10 PM")</f>
        <v>12.15 PM - 01.10 PM</v>
      </c>
      <c r="C11" s="3" t="str">
        <f>IFERROR(__xludf.DUMMYFUNCTION("""COMPUTED_VALUE"""),"Linear Algebra - Sec 5 - Dr. Sangeetha")</f>
        <v>Linear Algebra - Sec 5 - Dr. Sangeetha</v>
      </c>
      <c r="D11" s="3" t="str">
        <f>IFERROR(__xludf.DUMMYFUNCTION("""COMPUTED_VALUE"""),"Web Technology - Sec 1 - Ujjwal")</f>
        <v>Web Technology - Sec 1 - Ujjwal</v>
      </c>
      <c r="E11" s="3" t="str">
        <f>IFERROR(__xludf.DUMMYFUNCTION("""COMPUTED_VALUE"""),"Critical Thinking (SAS/SoAI/SoB/SoT/SCDS)  (Sem 1)                                     Megha Kapoor")</f>
        <v>Critical Thinking (SAS/SoAI/SoB/SoT/SCDS)  (Sem 1)                                     Megha Kapoor</v>
      </c>
      <c r="F11" s="3" t="str">
        <f>IFERROR(__xludf.DUMMYFUNCTION("""COMPUTED_VALUE"""),"Foundation of Data Engineering - Sec 2 - Arjun")</f>
        <v>Foundation of Data Engineering - Sec 2 - Arjun</v>
      </c>
      <c r="G11" s="3"/>
      <c r="H11" s="3"/>
      <c r="I11" s="3"/>
      <c r="J11" s="3"/>
      <c r="K11" s="3" t="str">
        <f>IFERROR(__xludf.DUMMYFUNCTION("""COMPUTED_VALUE"""),"Neurodevelopment             Dr. Anil")</f>
        <v>Neurodevelopment             Dr. Anil</v>
      </c>
      <c r="L11" s="3" t="str">
        <f>IFERROR(__xludf.DUMMYFUNCTION("""COMPUTED_VALUE"""),"Molecular Neuroscience     Ms. Karen P Sneha")</f>
        <v>Molecular Neuroscience     Ms. Karen P Sneha</v>
      </c>
      <c r="M11" s="3" t="str">
        <f>IFERROR(__xludf.DUMMYFUNCTION("""COMPUTED_VALUE"""),"Psychology behind Social Media                                          Dr. Sanjeev")</f>
        <v>Psychology behind Social Media                                          Dr. Sanjeev</v>
      </c>
      <c r="N11" s="3" t="str">
        <f>IFERROR(__xludf.DUMMYFUNCTION("""COMPUTED_VALUE"""),"Securities Law - Anand Shrivas")</f>
        <v>Securities Law - Anand Shrivas</v>
      </c>
      <c r="O11" s="3"/>
      <c r="P11" s="3" t="str">
        <f>IFERROR(__xludf.DUMMYFUNCTION("""COMPUTED_VALUE"""),"Ethics                             Vivek")</f>
        <v>Ethics                             Vivek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 t="str">
        <f>IFERROR(__xludf.DUMMYFUNCTION("""COMPUTED_VALUE"""),"AB2  -  101")</f>
        <v>AB2  -  101</v>
      </c>
      <c r="D12" s="3" t="str">
        <f>IFERROR(__xludf.DUMMYFUNCTION("""COMPUTED_VALUE"""),"AB2  -  203")</f>
        <v>AB2  -  203</v>
      </c>
      <c r="E12" s="3" t="str">
        <f>IFERROR(__xludf.DUMMYFUNCTION("""COMPUTED_VALUE"""),"AB2 - 202")</f>
        <v>AB2 - 202</v>
      </c>
      <c r="F12" s="3" t="str">
        <f>IFERROR(__xludf.DUMMYFUNCTION("""COMPUTED_VALUE"""),"AB1 - 101")</f>
        <v>AB1 - 101</v>
      </c>
      <c r="G12" s="3" t="str">
        <f>IFERROR(__xludf.DUMMYFUNCTION("""COMPUTED_VALUE"""),"AB2  -  207")</f>
        <v>AB2  -  207</v>
      </c>
      <c r="H12" s="3" t="str">
        <f>IFERROR(__xludf.DUMMYFUNCTION("""COMPUTED_VALUE"""),"AB2 - 205")</f>
        <v>AB2 - 205</v>
      </c>
      <c r="I12" s="3" t="str">
        <f>IFERROR(__xludf.DUMMYFUNCTION("""COMPUTED_VALUE"""),"AB2 - 206")</f>
        <v>AB2 - 206</v>
      </c>
      <c r="J12" s="3" t="str">
        <f>IFERROR(__xludf.DUMMYFUNCTION("""COMPUTED_VALUE"""),"AB2  -  210")</f>
        <v>AB2  -  210</v>
      </c>
      <c r="K12" s="3" t="str">
        <f>IFERROR(__xludf.DUMMYFUNCTION("""COMPUTED_VALUE"""),"AB1 - 201")</f>
        <v>AB1 - 201</v>
      </c>
      <c r="L12" s="3" t="str">
        <f>IFERROR(__xludf.DUMMYFUNCTION("""COMPUTED_VALUE"""),"AB2 - 204")</f>
        <v>AB2 - 204</v>
      </c>
      <c r="M12" s="3" t="str">
        <f>IFERROR(__xludf.DUMMYFUNCTION("""COMPUTED_VALUE"""),"AB2 - 209")</f>
        <v>AB2 - 209</v>
      </c>
      <c r="N12" s="3" t="str">
        <f>IFERROR(__xludf.DUMMYFUNCTION("""COMPUTED_VALUE"""),"AB2 - 201")</f>
        <v>AB2 - 201</v>
      </c>
      <c r="O12" s="3" t="str">
        <f>IFERROR(__xludf.DUMMYFUNCTION("""COMPUTED_VALUE"""),"AB2 - 211")</f>
        <v>AB2 - 211</v>
      </c>
      <c r="P12" s="3" t="str">
        <f>IFERROR(__xludf.DUMMYFUNCTION("""COMPUTED_VALUE"""),"AB1 - 103")</f>
        <v>AB1 - 103</v>
      </c>
      <c r="Q12" s="3" t="str">
        <f>IFERROR(__xludf.DUMMYFUNCTION("""COMPUTED_VALUE"""),"AB1 - 102")</f>
        <v>AB1 - 102</v>
      </c>
      <c r="R12" s="3" t="str">
        <f>IFERROR(__xludf.DUMMYFUNCTION("""COMPUTED_VALUE"""),"AB1 - 104")</f>
        <v>AB1 - 104</v>
      </c>
      <c r="S12" s="3" t="str">
        <f>IFERROR(__xludf.DUMMYFUNCTION("""COMPUTED_VALUE"""),"Biotech Lab")</f>
        <v>Biotech Lab</v>
      </c>
      <c r="T12" s="3"/>
      <c r="U12" s="3"/>
      <c r="V12" s="3"/>
      <c r="W12" s="3"/>
      <c r="X12" s="3"/>
      <c r="Y12" s="3"/>
      <c r="Z12" s="3"/>
    </row>
    <row r="13">
      <c r="A13" s="3"/>
      <c r="B13" s="3" t="str">
        <f>IFERROR(__xludf.DUMMYFUNCTION("""COMPUTED_VALUE"""),"01:15 PM - 01.55 PM")</f>
        <v>01:15 PM - 01.55 PM</v>
      </c>
      <c r="C13" s="3" t="str">
        <f>IFERROR(__xludf.DUMMYFUNCTION("""COMPUTED_VALUE"""),"LUNCH BREAK")</f>
        <v>LUNCH BREAK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 t="str">
        <f>IFERROR(__xludf.DUMMYFUNCTION("""COMPUTED_VALUE"""),"01.00PM - 01.55PM")</f>
        <v>01.00PM - 01.55PM</v>
      </c>
      <c r="C15" s="3" t="str">
        <f>IFERROR(__xludf.DUMMYFUNCTION("""COMPUTED_VALUE"""),"Emerging Tools - Sec 3 - Aravind")</f>
        <v>Emerging Tools - Sec 3 - Aravind</v>
      </c>
      <c r="D15" s="3"/>
      <c r="E15" s="3"/>
      <c r="F15" s="3"/>
      <c r="G15" s="3" t="str">
        <f>IFERROR(__xludf.DUMMYFUNCTION("""COMPUTED_VALUE"""),"COA - Sem 5 - Mariya")</f>
        <v>COA - Sem 5 - Mariya</v>
      </c>
      <c r="H15" s="3"/>
      <c r="I15" s="3" t="str">
        <f>IFERROR(__xludf.DUMMYFUNCTION("""COMPUTED_VALUE"""),"Analytical Methods &amp; Instrumentation    Manobala")</f>
        <v>Analytical Methods &amp; Instrumentation    Manobala</v>
      </c>
      <c r="J15" s="3" t="str">
        <f>IFERROR(__xludf.DUMMYFUNCTION("""COMPUTED_VALUE"""),"Environmental Law")</f>
        <v>Environmental Law</v>
      </c>
      <c r="K15" s="3" t="str">
        <f>IFERROR(__xludf.DUMMYFUNCTION("""COMPUTED_VALUE"""),"Constitutional Law - 1    Sarath Mohan")</f>
        <v>Constitutional Law - 1    Sarath Mohan</v>
      </c>
      <c r="L15" s="3" t="str">
        <f>IFERROR(__xludf.DUMMYFUNCTION("""COMPUTED_VALUE"""),"Counselling Psychology     Dr. Jemima")</f>
        <v>Counselling Psychology     Dr. Jemima</v>
      </c>
      <c r="M15" s="3" t="str">
        <f>IFERROR(__xludf.DUMMYFUNCTION("""COMPUTED_VALUE"""),"Economics - 1")</f>
        <v>Economics - 1</v>
      </c>
      <c r="N15" s="3" t="str">
        <f>IFERROR(__xludf.DUMMYFUNCTION("""COMPUTED_VALUE"""),"Conflicts in Contemporary International Relations   Dr. Sridhar Krishnaswamy")</f>
        <v>Conflicts in Contemporary International Relations   Dr. Sridhar Krishnaswamy</v>
      </c>
      <c r="O15" s="3" t="str">
        <f>IFERROR(__xludf.DUMMYFUNCTION("""COMPUTED_VALUE"""),"Financial Reporting and Analysis                                   Surya C")</f>
        <v>Financial Reporting and Analysis                                   Surya C</v>
      </c>
      <c r="P15" s="3" t="str">
        <f>IFERROR(__xludf.DUMMYFUNCTION("""COMPUTED_VALUE"""),"Thinking through Indian Traditions                              Ankita Kushwaha")</f>
        <v>Thinking through Indian Traditions                              Ankita Kushwaha</v>
      </c>
      <c r="Q15" s="3"/>
      <c r="R15" s="3" t="str">
        <f>IFERROR(__xludf.DUMMYFUNCTION("""COMPUTED_VALUE"""),"Discrete Mathematics &amp; Set Theory                             ArunKumar")</f>
        <v>Discrete Mathematics &amp; Set Theory                             ArunKumar</v>
      </c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 t="str">
        <f>IFERROR(__xludf.DUMMYFUNCTION("""COMPUTED_VALUE"""),"AB2  -  101")</f>
        <v>AB2  -  101</v>
      </c>
      <c r="D16" s="3" t="str">
        <f>IFERROR(__xludf.DUMMYFUNCTION("""COMPUTED_VALUE"""),"AB2  -  203")</f>
        <v>AB2  -  203</v>
      </c>
      <c r="E16" s="3" t="str">
        <f>IFERROR(__xludf.DUMMYFUNCTION("""COMPUTED_VALUE"""),"AB2 - 202")</f>
        <v>AB2 - 202</v>
      </c>
      <c r="F16" s="3" t="str">
        <f>IFERROR(__xludf.DUMMYFUNCTION("""COMPUTED_VALUE"""),"AB1 - 101")</f>
        <v>AB1 - 101</v>
      </c>
      <c r="G16" s="3" t="str">
        <f>IFERROR(__xludf.DUMMYFUNCTION("""COMPUTED_VALUE"""),"AB2  -  207")</f>
        <v>AB2  -  207</v>
      </c>
      <c r="H16" s="3" t="str">
        <f>IFERROR(__xludf.DUMMYFUNCTION("""COMPUTED_VALUE"""),"AB2 - 205")</f>
        <v>AB2 - 205</v>
      </c>
      <c r="I16" s="3" t="str">
        <f>IFERROR(__xludf.DUMMYFUNCTION("""COMPUTED_VALUE"""),"AB2 - 206")</f>
        <v>AB2 - 206</v>
      </c>
      <c r="J16" s="3" t="str">
        <f>IFERROR(__xludf.DUMMYFUNCTION("""COMPUTED_VALUE"""),"AB2  -  210")</f>
        <v>AB2  -  210</v>
      </c>
      <c r="K16" s="3" t="str">
        <f>IFERROR(__xludf.DUMMYFUNCTION("""COMPUTED_VALUE"""),"AB1 - 201")</f>
        <v>AB1 - 201</v>
      </c>
      <c r="L16" s="3" t="str">
        <f>IFERROR(__xludf.DUMMYFUNCTION("""COMPUTED_VALUE"""),"AB2 - 204")</f>
        <v>AB2 - 204</v>
      </c>
      <c r="M16" s="3" t="str">
        <f>IFERROR(__xludf.DUMMYFUNCTION("""COMPUTED_VALUE"""),"AB2 - 209")</f>
        <v>AB2 - 209</v>
      </c>
      <c r="N16" s="3" t="str">
        <f>IFERROR(__xludf.DUMMYFUNCTION("""COMPUTED_VALUE"""),"AB2 - 201")</f>
        <v>AB2 - 201</v>
      </c>
      <c r="O16" s="3" t="str">
        <f>IFERROR(__xludf.DUMMYFUNCTION("""COMPUTED_VALUE"""),"AB2 - 211")</f>
        <v>AB2 - 211</v>
      </c>
      <c r="P16" s="3" t="str">
        <f>IFERROR(__xludf.DUMMYFUNCTION("""COMPUTED_VALUE"""),"AB1 - 103")</f>
        <v>AB1 - 103</v>
      </c>
      <c r="Q16" s="3" t="str">
        <f>IFERROR(__xludf.DUMMYFUNCTION("""COMPUTED_VALUE"""),"AB1 - 102")</f>
        <v>AB1 - 102</v>
      </c>
      <c r="R16" s="3" t="str">
        <f>IFERROR(__xludf.DUMMYFUNCTION("""COMPUTED_VALUE"""),"AB1 - 104")</f>
        <v>AB1 - 104</v>
      </c>
      <c r="S16" s="3">
        <f>IFERROR(__xludf.DUMMYFUNCTION("""COMPUTED_VALUE"""),5.0)</f>
        <v>5</v>
      </c>
      <c r="T16" s="3"/>
      <c r="U16" s="3"/>
      <c r="V16" s="3"/>
      <c r="W16" s="3"/>
      <c r="X16" s="3"/>
      <c r="Y16" s="3"/>
      <c r="Z16" s="3"/>
    </row>
    <row r="17">
      <c r="A17" s="3"/>
      <c r="B17" s="3" t="str">
        <f>IFERROR(__xludf.DUMMYFUNCTION("""COMPUTED_VALUE"""),"02.00 PM - 2.55PM")</f>
        <v>02.00 PM - 2.55PM</v>
      </c>
      <c r="C17" s="3" t="str">
        <f>IFERROR(__xludf.DUMMYFUNCTION("""COMPUTED_VALUE"""),"Foundation of Data Engineering - Sec 1 - Arjun")</f>
        <v>Foundation of Data Engineering - Sec 1 - Arjun</v>
      </c>
      <c r="D17" s="3" t="str">
        <f>IFERROR(__xludf.DUMMYFUNCTION("""COMPUTED_VALUE"""),"Web Technology - Sec 2 - Rupam Sah")</f>
        <v>Web Technology - Sec 2 - Rupam Sah</v>
      </c>
      <c r="E17" s="3" t="str">
        <f>IFERROR(__xludf.DUMMYFUNCTION("""COMPUTED_VALUE"""),"Foundation of Data Engineering - Sec 7 - Nitish")</f>
        <v>Foundation of Data Engineering - Sec 7 - Nitish</v>
      </c>
      <c r="F17" s="3"/>
      <c r="G17" s="3" t="str">
        <f>IFERROR(__xludf.DUMMYFUNCTION("""COMPUTED_VALUE"""),"Linear Algebra - Sec 6 - Dr. Sangeetha")</f>
        <v>Linear Algebra - Sec 6 - Dr. Sangeetha</v>
      </c>
      <c r="H17" s="3" t="str">
        <f>IFERROR(__xludf.DUMMYFUNCTION("""COMPUTED_VALUE"""),"Programming in C                  Ujjwal")</f>
        <v>Programming in C                  Ujjwal</v>
      </c>
      <c r="I17" s="3" t="str">
        <f>IFERROR(__xludf.DUMMYFUNCTION("""COMPUTED_VALUE"""),"Analytical Methods &amp; Instrumentation    Manobala")</f>
        <v>Analytical Methods &amp; Instrumentation    Manobala</v>
      </c>
      <c r="J17" s="3" t="str">
        <f>IFERROR(__xludf.DUMMYFUNCTION("""COMPUTED_VALUE"""),"Organizational Psychology - Micro Perspective                             Dr. Maya")</f>
        <v>Organizational Psychology - Micro Perspective                             Dr. Maya</v>
      </c>
      <c r="K17" s="3" t="str">
        <f>IFERROR(__xludf.DUMMYFUNCTION("""COMPUTED_VALUE"""),"Company Law   - Anand Shrivas")</f>
        <v>Company Law   - Anand Shrivas</v>
      </c>
      <c r="L17" s="3" t="str">
        <f>IFERROR(__xludf.DUMMYFUNCTION("""COMPUTED_VALUE"""),"Interpretation of Statutes - Jaisy George")</f>
        <v>Interpretation of Statutes - Jaisy George</v>
      </c>
      <c r="M17" s="3" t="str">
        <f>IFERROR(__xludf.DUMMYFUNCTION("""COMPUTED_VALUE"""),"Introduction to Psychology / Psychology-1                Mridula")</f>
        <v>Introduction to Psychology / Psychology-1                Mridula</v>
      </c>
      <c r="N17" s="3" t="str">
        <f>IFERROR(__xludf.DUMMYFUNCTION("""COMPUTED_VALUE"""),"Basic Chemical Engineering                              Dr. Vigneswaran")</f>
        <v>Basic Chemical Engineering                              Dr. Vigneswaran</v>
      </c>
      <c r="O17" s="3"/>
      <c r="P17" s="3" t="str">
        <f>IFERROR(__xludf.DUMMYFUNCTION("""COMPUTED_VALUE"""),"General Mathematics          Dr. Sivan")</f>
        <v>General Mathematics          Dr. Sivan</v>
      </c>
      <c r="Q17" s="3"/>
      <c r="R17" s="3" t="str">
        <f>IFERROR(__xludf.DUMMYFUNCTION("""COMPUTED_VALUE"""),"Human AI Interaction                     Pankaj Jain")</f>
        <v>Human AI Interaction                     Pankaj Jain</v>
      </c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 t="str">
        <f>IFERROR(__xludf.DUMMYFUNCTION("""COMPUTED_VALUE"""),"AB2  -  101")</f>
        <v>AB2  -  101</v>
      </c>
      <c r="D18" s="3" t="str">
        <f>IFERROR(__xludf.DUMMYFUNCTION("""COMPUTED_VALUE"""),"AB2  -  203")</f>
        <v>AB2  -  203</v>
      </c>
      <c r="E18" s="3" t="str">
        <f>IFERROR(__xludf.DUMMYFUNCTION("""COMPUTED_VALUE"""),"AB2 - 202")</f>
        <v>AB2 - 202</v>
      </c>
      <c r="F18" s="3" t="str">
        <f>IFERROR(__xludf.DUMMYFUNCTION("""COMPUTED_VALUE"""),"AB1 - 101")</f>
        <v>AB1 - 101</v>
      </c>
      <c r="G18" s="3" t="str">
        <f>IFERROR(__xludf.DUMMYFUNCTION("""COMPUTED_VALUE"""),"AB2  -  207")</f>
        <v>AB2  -  207</v>
      </c>
      <c r="H18" s="3" t="str">
        <f>IFERROR(__xludf.DUMMYFUNCTION("""COMPUTED_VALUE"""),"AB2 - 205")</f>
        <v>AB2 - 205</v>
      </c>
      <c r="I18" s="3" t="str">
        <f>IFERROR(__xludf.DUMMYFUNCTION("""COMPUTED_VALUE"""),"AB2 - 206")</f>
        <v>AB2 - 206</v>
      </c>
      <c r="J18" s="3" t="str">
        <f>IFERROR(__xludf.DUMMYFUNCTION("""COMPUTED_VALUE"""),"AB2  -  210")</f>
        <v>AB2  -  210</v>
      </c>
      <c r="K18" s="3" t="str">
        <f>IFERROR(__xludf.DUMMYFUNCTION("""COMPUTED_VALUE"""),"AB1 - 201")</f>
        <v>AB1 - 201</v>
      </c>
      <c r="L18" s="3" t="str">
        <f>IFERROR(__xludf.DUMMYFUNCTION("""COMPUTED_VALUE"""),"AB2 - 204")</f>
        <v>AB2 - 204</v>
      </c>
      <c r="M18" s="3" t="str">
        <f>IFERROR(__xludf.DUMMYFUNCTION("""COMPUTED_VALUE"""),"AB2 - 209")</f>
        <v>AB2 - 209</v>
      </c>
      <c r="N18" s="3" t="str">
        <f>IFERROR(__xludf.DUMMYFUNCTION("""COMPUTED_VALUE"""),"AB2 - 201")</f>
        <v>AB2 - 201</v>
      </c>
      <c r="O18" s="3" t="str">
        <f>IFERROR(__xludf.DUMMYFUNCTION("""COMPUTED_VALUE"""),"AB2 - 211")</f>
        <v>AB2 - 211</v>
      </c>
      <c r="P18" s="3" t="str">
        <f>IFERROR(__xludf.DUMMYFUNCTION("""COMPUTED_VALUE"""),"AB1 - 103")</f>
        <v>AB1 - 103</v>
      </c>
      <c r="Q18" s="3" t="str">
        <f>IFERROR(__xludf.DUMMYFUNCTION("""COMPUTED_VALUE"""),"AB1 - 102")</f>
        <v>AB1 - 102</v>
      </c>
      <c r="R18" s="3" t="str">
        <f>IFERROR(__xludf.DUMMYFUNCTION("""COMPUTED_VALUE"""),"AB1 - 104")</f>
        <v>AB1 - 104</v>
      </c>
      <c r="S18" s="3"/>
      <c r="T18" s="3"/>
      <c r="U18" s="3"/>
      <c r="V18" s="3"/>
      <c r="W18" s="3"/>
      <c r="X18" s="3"/>
      <c r="Y18" s="3"/>
      <c r="Z18" s="3"/>
    </row>
    <row r="19">
      <c r="A19" s="3"/>
      <c r="B19" s="3" t="str">
        <f>IFERROR(__xludf.DUMMYFUNCTION("""COMPUTED_VALUE"""),"03.00 PM - 03.55 PM")</f>
        <v>03.00 PM - 03.55 PM</v>
      </c>
      <c r="C19" s="3" t="str">
        <f>IFERROR(__xludf.DUMMYFUNCTION("""COMPUTED_VALUE"""),"Professional Skills &amp; Career Readiness                             Sangeetha")</f>
        <v>Professional Skills &amp; Career Readiness                             Sangeetha</v>
      </c>
      <c r="D19" s="3" t="str">
        <f>IFERROR(__xludf.DUMMYFUNCTION("""COMPUTED_VALUE"""),"ET - Sec 2 - Sonar")</f>
        <v>ET - Sec 2 - Sonar</v>
      </c>
      <c r="E19" s="3" t="str">
        <f>IFERROR(__xludf.DUMMYFUNCTION("""COMPUTED_VALUE"""),"Professional Skills &amp; Career Readiness                             Tamilarasi")</f>
        <v>Professional Skills &amp; Career Readiness                             Tamilarasi</v>
      </c>
      <c r="F19" s="3"/>
      <c r="G19" s="3"/>
      <c r="H19" s="3" t="str">
        <f>IFERROR(__xludf.DUMMYFUNCTION("""COMPUTED_VALUE"""),"Introduction to Financial Accounting                                        Surya C")</f>
        <v>Introduction to Financial Accounting                                        Surya C</v>
      </c>
      <c r="I19" s="3" t="str">
        <f>IFERROR(__xludf.DUMMYFUNCTION("""COMPUTED_VALUE"""),"Moot Court and Internship - Nasma Sultana")</f>
        <v>Moot Court and Internship - Nasma Sultana</v>
      </c>
      <c r="J19" s="3" t="str">
        <f>IFERROR(__xludf.DUMMYFUNCTION("""COMPUTED_VALUE"""),"Human Rights and Duties            Megha Kapoor")</f>
        <v>Human Rights and Duties            Megha Kapoor</v>
      </c>
      <c r="K19" s="3" t="str">
        <f>IFERROR(__xludf.DUMMYFUNCTION("""COMPUTED_VALUE"""),"Law of Contracts 2                   ( Sanjay Bang)")</f>
        <v>Law of Contracts 2                   ( Sanjay Bang)</v>
      </c>
      <c r="L19" s="3" t="str">
        <f>IFERROR(__xludf.DUMMYFUNCTION("""COMPUTED_VALUE"""),"General Mathematics          Dr. Sivan")</f>
        <v>General Mathematics          Dr. Sivan</v>
      </c>
      <c r="M19" s="3" t="str">
        <f>IFERROR(__xludf.DUMMYFUNCTION("""COMPUTED_VALUE"""),"English - 1                 Grace")</f>
        <v>English - 1                 Grace</v>
      </c>
      <c r="N19" s="3" t="str">
        <f>IFERROR(__xludf.DUMMYFUNCTION("""COMPUTED_VALUE"""),"Introduction to Cognitive Neuroscience                                Dr. Anil")</f>
        <v>Introduction to Cognitive Neuroscience                                Dr. Anil</v>
      </c>
      <c r="O19" s="3" t="str">
        <f>IFERROR(__xludf.DUMMYFUNCTION("""COMPUTED_VALUE"""),"Applied Biological Sciences   Manobala")</f>
        <v>Applied Biological Sciences   Manobala</v>
      </c>
      <c r="P19" s="3" t="str">
        <f>IFERROR(__xludf.DUMMYFUNCTION("""COMPUTED_VALUE"""),"Introduction to Philosophy                  Siddharth")</f>
        <v>Introduction to Philosophy                  Siddharth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 t="str">
        <f>IFERROR(__xludf.DUMMYFUNCTION("""COMPUTED_VALUE"""),"AB2  -  101")</f>
        <v>AB2  -  101</v>
      </c>
      <c r="D20" s="3" t="str">
        <f>IFERROR(__xludf.DUMMYFUNCTION("""COMPUTED_VALUE"""),"AB2  -  203")</f>
        <v>AB2  -  203</v>
      </c>
      <c r="E20" s="3" t="str">
        <f>IFERROR(__xludf.DUMMYFUNCTION("""COMPUTED_VALUE"""),"AB2 - 202")</f>
        <v>AB2 - 202</v>
      </c>
      <c r="F20" s="3" t="str">
        <f>IFERROR(__xludf.DUMMYFUNCTION("""COMPUTED_VALUE"""),"AB1 - 101")</f>
        <v>AB1 - 101</v>
      </c>
      <c r="G20" s="3" t="str">
        <f>IFERROR(__xludf.DUMMYFUNCTION("""COMPUTED_VALUE"""),"AB2  -  207")</f>
        <v>AB2  -  207</v>
      </c>
      <c r="H20" s="3" t="str">
        <f>IFERROR(__xludf.DUMMYFUNCTION("""COMPUTED_VALUE"""),"AB2 - 205")</f>
        <v>AB2 - 205</v>
      </c>
      <c r="I20" s="3" t="str">
        <f>IFERROR(__xludf.DUMMYFUNCTION("""COMPUTED_VALUE"""),"AB2 - 206")</f>
        <v>AB2 - 206</v>
      </c>
      <c r="J20" s="3" t="str">
        <f>IFERROR(__xludf.DUMMYFUNCTION("""COMPUTED_VALUE"""),"AB2  -  210")</f>
        <v>AB2  -  210</v>
      </c>
      <c r="K20" s="3" t="str">
        <f>IFERROR(__xludf.DUMMYFUNCTION("""COMPUTED_VALUE"""),"AB1 - 201")</f>
        <v>AB1 - 201</v>
      </c>
      <c r="L20" s="3" t="str">
        <f>IFERROR(__xludf.DUMMYFUNCTION("""COMPUTED_VALUE"""),"AB2 - 204")</f>
        <v>AB2 - 204</v>
      </c>
      <c r="M20" s="3" t="str">
        <f>IFERROR(__xludf.DUMMYFUNCTION("""COMPUTED_VALUE"""),"AB2 - 209")</f>
        <v>AB2 - 209</v>
      </c>
      <c r="N20" s="3" t="str">
        <f>IFERROR(__xludf.DUMMYFUNCTION("""COMPUTED_VALUE"""),"AB2 - 201")</f>
        <v>AB2 - 201</v>
      </c>
      <c r="O20" s="3" t="str">
        <f>IFERROR(__xludf.DUMMYFUNCTION("""COMPUTED_VALUE"""),"AB2 - 211")</f>
        <v>AB2 - 211</v>
      </c>
      <c r="P20" s="3" t="str">
        <f>IFERROR(__xludf.DUMMYFUNCTION("""COMPUTED_VALUE"""),"AB1 - 103")</f>
        <v>AB1 - 103</v>
      </c>
      <c r="Q20" s="3" t="str">
        <f>IFERROR(__xludf.DUMMYFUNCTION("""COMPUTED_VALUE"""),"AB1 - 102")</f>
        <v>AB1 - 102</v>
      </c>
      <c r="R20" s="3" t="str">
        <f>IFERROR(__xludf.DUMMYFUNCTION("""COMPUTED_VALUE"""),"AB1 - 104")</f>
        <v>AB1 - 104</v>
      </c>
      <c r="S20" s="3"/>
      <c r="T20" s="3"/>
      <c r="U20" s="3"/>
      <c r="V20" s="3"/>
      <c r="W20" s="3"/>
      <c r="X20" s="3"/>
      <c r="Y20" s="3"/>
      <c r="Z20" s="3"/>
    </row>
    <row r="21">
      <c r="A21" s="3"/>
      <c r="B21" s="3" t="str">
        <f>IFERROR(__xludf.DUMMYFUNCTION("""COMPUTED_VALUE"""),"04.00 PM - 04.55 PM")</f>
        <v>04.00 PM - 04.55 PM</v>
      </c>
      <c r="C21" s="3" t="str">
        <f>IFERROR(__xludf.DUMMYFUNCTION("""COMPUTED_VALUE"""),"Frontiers of AI      Sem 1                                              Dr. Pankaj Jain")</f>
        <v>Frontiers of AI      Sem 1                                              Dr. Pankaj Jain</v>
      </c>
      <c r="D21" s="3" t="str">
        <f>IFERROR(__xludf.DUMMYFUNCTION("""COMPUTED_VALUE"""),"Foundation of Data Engineering - Sec 2 - Arjun")</f>
        <v>Foundation of Data Engineering - Sec 2 - Arjun</v>
      </c>
      <c r="E21" s="3" t="str">
        <f>IFERROR(__xludf.DUMMYFUNCTION("""COMPUTED_VALUE"""),"Web Technology - Sec 3 - Rupam Sah")</f>
        <v>Web Technology - Sec 3 - Rupam Sah</v>
      </c>
      <c r="F21" s="3"/>
      <c r="G21" s="3"/>
      <c r="H21" s="3" t="str">
        <f>IFERROR(__xludf.DUMMYFUNCTION("""COMPUTED_VALUE"""),"Family Law 1                    Payal Bhattacharjee")</f>
        <v>Family Law 1                    Payal Bhattacharjee</v>
      </c>
      <c r="I21" s="3" t="str">
        <f>IFERROR(__xludf.DUMMYFUNCTION("""COMPUTED_VALUE"""),"Introduction to Research Methodology                  Meenakshi")</f>
        <v>Introduction to Research Methodology                  Meenakshi</v>
      </c>
      <c r="J21" s="3" t="str">
        <f>IFERROR(__xludf.DUMMYFUNCTION("""COMPUTED_VALUE"""),"Contitutional Law 2                     Dr. Sanjay Bang")</f>
        <v>Contitutional Law 2                     Dr. Sanjay Bang</v>
      </c>
      <c r="K21" s="3" t="str">
        <f>IFERROR(__xludf.DUMMYFUNCTION("""COMPUTED_VALUE"""),"Forensic Psychology                 Dr Mridula")</f>
        <v>Forensic Psychology                 Dr Mridula</v>
      </c>
      <c r="L21" s="3" t="str">
        <f>IFERROR(__xludf.DUMMYFUNCTION("""COMPUTED_VALUE"""),"Neuroanatomy                         Ms. Karen")</f>
        <v>Neuroanatomy                         Ms. Karen</v>
      </c>
      <c r="M21" s="3" t="str">
        <f>IFERROR(__xludf.DUMMYFUNCTION("""COMPUTED_VALUE"""),"Protein &amp; Enzymes       Manobala")</f>
        <v>Protein &amp; Enzymes       Manobala</v>
      </c>
      <c r="N21" s="3" t="str">
        <f>IFERROR(__xludf.DUMMYFUNCTION("""COMPUTED_VALUE"""),"Psychiatry and Mood Disorders                             Dr. Anil")</f>
        <v>Psychiatry and Mood Disorders                             Dr. Anil</v>
      </c>
      <c r="O21" s="3"/>
      <c r="P21" s="3" t="str">
        <f>IFERROR(__xludf.DUMMYFUNCTION("""COMPUTED_VALUE"""),"Introduction to Financial Accounting                                        Surya C")</f>
        <v>Introduction to Financial Accounting                                        Surya C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 t="str">
        <f>IFERROR(__xludf.DUMMYFUNCTION("""COMPUTED_VALUE"""),"AB2  -  101")</f>
        <v>AB2  -  101</v>
      </c>
      <c r="D22" s="3" t="str">
        <f>IFERROR(__xludf.DUMMYFUNCTION("""COMPUTED_VALUE"""),"AB2  -  203")</f>
        <v>AB2  -  203</v>
      </c>
      <c r="E22" s="3" t="str">
        <f>IFERROR(__xludf.DUMMYFUNCTION("""COMPUTED_VALUE"""),"AB2 - 202")</f>
        <v>AB2 - 202</v>
      </c>
      <c r="F22" s="3" t="str">
        <f>IFERROR(__xludf.DUMMYFUNCTION("""COMPUTED_VALUE"""),"AB1 - 101")</f>
        <v>AB1 - 101</v>
      </c>
      <c r="G22" s="3" t="str">
        <f>IFERROR(__xludf.DUMMYFUNCTION("""COMPUTED_VALUE"""),"AB2  -  207")</f>
        <v>AB2  -  207</v>
      </c>
      <c r="H22" s="3" t="str">
        <f>IFERROR(__xludf.DUMMYFUNCTION("""COMPUTED_VALUE"""),"AB2 - 205")</f>
        <v>AB2 - 205</v>
      </c>
      <c r="I22" s="3" t="str">
        <f>IFERROR(__xludf.DUMMYFUNCTION("""COMPUTED_VALUE"""),"AB2 - 206")</f>
        <v>AB2 - 206</v>
      </c>
      <c r="J22" s="3" t="str">
        <f>IFERROR(__xludf.DUMMYFUNCTION("""COMPUTED_VALUE"""),"AB2  -  210")</f>
        <v>AB2  -  210</v>
      </c>
      <c r="K22" s="3" t="str">
        <f>IFERROR(__xludf.DUMMYFUNCTION("""COMPUTED_VALUE"""),"AB1 - 201")</f>
        <v>AB1 - 201</v>
      </c>
      <c r="L22" s="3" t="str">
        <f>IFERROR(__xludf.DUMMYFUNCTION("""COMPUTED_VALUE"""),"AB2 - 204")</f>
        <v>AB2 - 204</v>
      </c>
      <c r="M22" s="3" t="str">
        <f>IFERROR(__xludf.DUMMYFUNCTION("""COMPUTED_VALUE"""),"AB2 - 209")</f>
        <v>AB2 - 209</v>
      </c>
      <c r="N22" s="3" t="str">
        <f>IFERROR(__xludf.DUMMYFUNCTION("""COMPUTED_VALUE"""),"AB2 - 201")</f>
        <v>AB2 - 201</v>
      </c>
      <c r="O22" s="3" t="str">
        <f>IFERROR(__xludf.DUMMYFUNCTION("""COMPUTED_VALUE"""),"AB2 - 211")</f>
        <v>AB2 - 211</v>
      </c>
      <c r="P22" s="3" t="str">
        <f>IFERROR(__xludf.DUMMYFUNCTION("""COMPUTED_VALUE"""),"AB1 - 103")</f>
        <v>AB1 - 103</v>
      </c>
      <c r="Q22" s="3" t="str">
        <f>IFERROR(__xludf.DUMMYFUNCTION("""COMPUTED_VALUE"""),"AB1 - 102")</f>
        <v>AB1 - 102</v>
      </c>
      <c r="R22" s="3" t="str">
        <f>IFERROR(__xludf.DUMMYFUNCTION("""COMPUTED_VALUE"""),"AB1 - 104")</f>
        <v>AB1 - 104</v>
      </c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tr">
        <f>IFERROR(__xludf.DUMMYFUNCTION("""COMPUTED_VALUE"""),"TUESDAY")</f>
        <v>TUESDAY</v>
      </c>
      <c r="B24" s="3" t="str">
        <f>IFERROR(__xludf.DUMMYFUNCTION("""COMPUTED_VALUE"""),"09:15 AM -  10:10 AM")</f>
        <v>09:15 AM -  10:10 AM</v>
      </c>
      <c r="C24" s="3" t="str">
        <f>IFERROR(__xludf.DUMMYFUNCTION("""COMPUTED_VALUE"""),"Linear Algebra - Sec 1 - Dr. Beaula")</f>
        <v>Linear Algebra - Sec 1 - Dr. Beaula</v>
      </c>
      <c r="D24" s="3" t="str">
        <f>IFERROR(__xludf.DUMMYFUNCTION("""COMPUTED_VALUE"""),"Linear Algebra - Sec 5 - Dr. Sangeetha")</f>
        <v>Linear Algebra - Sec 5 - Dr. Sangeetha</v>
      </c>
      <c r="E24" s="3" t="str">
        <f>IFERROR(__xludf.DUMMYFUNCTION("""COMPUTED_VALUE"""),"Web Technology - Sec 2 - Rupam Sah")</f>
        <v>Web Technology - Sec 2 - Rupam Sah</v>
      </c>
      <c r="F24" s="3" t="str">
        <f>IFERROR(__xludf.DUMMYFUNCTION("""COMPUTED_VALUE"""),"Linear Algebra - Sec 7 - Dr. Tamilarasi")</f>
        <v>Linear Algebra - Sec 7 - Dr. Tamilarasi</v>
      </c>
      <c r="G24" s="3" t="str">
        <f>IFERROR(__xludf.DUMMYFUNCTION("""COMPUTED_VALUE"""),"DL - Sem 5 - Dr. KK")</f>
        <v>DL - Sem 5 - Dr. KK</v>
      </c>
      <c r="H24" s="3" t="str">
        <f>IFERROR(__xludf.DUMMYFUNCTION("""COMPUTED_VALUE"""),"Advance_P - Sem 7 - Ujjwal")</f>
        <v>Advance_P - Sem 7 - Ujjwal</v>
      </c>
      <c r="I24" s="3" t="str">
        <f>IFERROR(__xludf.DUMMYFUNCTION("""COMPUTED_VALUE"""),"Cell Physiology                               Dr. Manobala / Moses")</f>
        <v>Cell Physiology                               Dr. Manobala / Moses</v>
      </c>
      <c r="J24" s="3" t="str">
        <f>IFERROR(__xludf.DUMMYFUNCTION("""COMPUTED_VALUE"""),"Contitutional Law 2                     Dr. Sanjay Bang")</f>
        <v>Contitutional Law 2                     Dr. Sanjay Bang</v>
      </c>
      <c r="K24" s="3" t="str">
        <f>IFERROR(__xludf.DUMMYFUNCTION("""COMPUTED_VALUE"""),"Family Law 1                    Payal Bhattacharjee")</f>
        <v>Family Law 1                    Payal Bhattacharjee</v>
      </c>
      <c r="L24" s="3" t="str">
        <f>IFERROR(__xludf.DUMMYFUNCTION("""COMPUTED_VALUE"""),"Competition Law - Nasma Sultana")</f>
        <v>Competition Law - Nasma Sultana</v>
      </c>
      <c r="M24" s="3" t="str">
        <f>IFERROR(__xludf.DUMMYFUNCTION("""COMPUTED_VALUE"""),"Psychopathology I             Dr. Jemima")</f>
        <v>Psychopathology I             Dr. Jemima</v>
      </c>
      <c r="N24" s="3" t="str">
        <f>IFERROR(__xludf.DUMMYFUNCTION("""COMPUTED_VALUE"""),"Introduction to Zoology    Dr. Anil / Ms. Shimantika")</f>
        <v>Introduction to Zoology    Dr. Anil / Ms. Shimantika</v>
      </c>
      <c r="O24" s="3" t="str">
        <f>IFERROR(__xludf.DUMMYFUNCTION("""COMPUTED_VALUE"""),"Basic Chemical Engineering                              Dr. Vigneswaran")</f>
        <v>Basic Chemical Engineering                              Dr. Vigneswaran</v>
      </c>
      <c r="P24" s="3" t="str">
        <f>IFERROR(__xludf.DUMMYFUNCTION("""COMPUTED_VALUE"""),"General Mathematics                  Dr. Sivan")</f>
        <v>General Mathematics                  Dr. Sivan</v>
      </c>
      <c r="Q24" s="3" t="str">
        <f>IFERROR(__xludf.DUMMYFUNCTION("""COMPUTED_VALUE"""),"Introduction to Psychology / Psychology-1                Mridula")</f>
        <v>Introduction to Psychology / Psychology-1                Mridula</v>
      </c>
      <c r="R24" s="3" t="str">
        <f>IFERROR(__xludf.DUMMYFUNCTION("""COMPUTED_VALUE"""),"Differential Equations         ArunKumar")</f>
        <v>Differential Equations         ArunKumar</v>
      </c>
      <c r="S24" s="3" t="str">
        <f>IFERROR(__xludf.DUMMYFUNCTION("""COMPUTED_VALUE"""),"Conflicts in Contemporary International Relations   Dr. Sridhar Krishnaswamy")</f>
        <v>Conflicts in Contemporary International Relations   Dr. Sridhar Krishnaswamy</v>
      </c>
      <c r="T24" s="3"/>
      <c r="U24" s="3"/>
      <c r="V24" s="3"/>
      <c r="W24" s="3"/>
      <c r="X24" s="3"/>
      <c r="Y24" s="3"/>
      <c r="Z24" s="3"/>
    </row>
    <row r="25">
      <c r="A25" s="3"/>
      <c r="B25" s="3"/>
      <c r="C25" s="3" t="str">
        <f>IFERROR(__xludf.DUMMYFUNCTION("""COMPUTED_VALUE"""),"AB2  -  101")</f>
        <v>AB2  -  101</v>
      </c>
      <c r="D25" s="3" t="str">
        <f>IFERROR(__xludf.DUMMYFUNCTION("""COMPUTED_VALUE"""),"AB2  -  203")</f>
        <v>AB2  -  203</v>
      </c>
      <c r="E25" s="3" t="str">
        <f>IFERROR(__xludf.DUMMYFUNCTION("""COMPUTED_VALUE"""),"AB2 - 202")</f>
        <v>AB2 - 202</v>
      </c>
      <c r="F25" s="3" t="str">
        <f>IFERROR(__xludf.DUMMYFUNCTION("""COMPUTED_VALUE"""),"AB1 - 101")</f>
        <v>AB1 - 101</v>
      </c>
      <c r="G25" s="3" t="str">
        <f>IFERROR(__xludf.DUMMYFUNCTION("""COMPUTED_VALUE"""),"AB2  -  207")</f>
        <v>AB2  -  207</v>
      </c>
      <c r="H25" s="3" t="str">
        <f>IFERROR(__xludf.DUMMYFUNCTION("""COMPUTED_VALUE"""),"AB2 - 205")</f>
        <v>AB2 - 205</v>
      </c>
      <c r="I25" s="3" t="str">
        <f>IFERROR(__xludf.DUMMYFUNCTION("""COMPUTED_VALUE"""),"AB2 - 206")</f>
        <v>AB2 - 206</v>
      </c>
      <c r="J25" s="3" t="str">
        <f>IFERROR(__xludf.DUMMYFUNCTION("""COMPUTED_VALUE"""),"AB2  -  210")</f>
        <v>AB2  -  210</v>
      </c>
      <c r="K25" s="3" t="str">
        <f>IFERROR(__xludf.DUMMYFUNCTION("""COMPUTED_VALUE"""),"AB1 - 201")</f>
        <v>AB1 - 201</v>
      </c>
      <c r="L25" s="3" t="str">
        <f>IFERROR(__xludf.DUMMYFUNCTION("""COMPUTED_VALUE"""),"AB2 - 204")</f>
        <v>AB2 - 204</v>
      </c>
      <c r="M25" s="3" t="str">
        <f>IFERROR(__xludf.DUMMYFUNCTION("""COMPUTED_VALUE"""),"AB2 - 209")</f>
        <v>AB2 - 209</v>
      </c>
      <c r="N25" s="3" t="str">
        <f>IFERROR(__xludf.DUMMYFUNCTION("""COMPUTED_VALUE"""),"AB2 - LAB")</f>
        <v>AB2 - LAB</v>
      </c>
      <c r="O25" s="3" t="str">
        <f>IFERROR(__xludf.DUMMYFUNCTION("""COMPUTED_VALUE"""),"AB2 - Faculty Conference Room")</f>
        <v>AB2 - Faculty Conference Room</v>
      </c>
      <c r="P25" s="3" t="str">
        <f>IFERROR(__xludf.DUMMYFUNCTION("""COMPUTED_VALUE"""),"AB1 - 103")</f>
        <v>AB1 - 103</v>
      </c>
      <c r="Q25" s="3" t="str">
        <f>IFERROR(__xludf.DUMMYFUNCTION("""COMPUTED_VALUE"""),"AB2 - 201")</f>
        <v>AB2 - 201</v>
      </c>
      <c r="R25" s="3" t="str">
        <f>IFERROR(__xludf.DUMMYFUNCTION("""COMPUTED_VALUE"""),"AB1 - 104")</f>
        <v>AB1 - 104</v>
      </c>
      <c r="S25" s="3"/>
      <c r="T25" s="3"/>
      <c r="U25" s="3"/>
      <c r="V25" s="3"/>
      <c r="W25" s="3"/>
      <c r="X25" s="3"/>
      <c r="Y25" s="3"/>
      <c r="Z25" s="3"/>
    </row>
    <row r="26">
      <c r="A26" s="3"/>
      <c r="B26" s="3" t="str">
        <f>IFERROR(__xludf.DUMMYFUNCTION("""COMPUTED_VALUE"""),"10:15 AM -  11:10 AM")</f>
        <v>10:15 AM -  11:10 AM</v>
      </c>
      <c r="C26" s="3" t="str">
        <f>IFERROR(__xludf.DUMMYFUNCTION("""COMPUTED_VALUE"""),"Linear Algebra - Sec 1 - Dr. Beaula")</f>
        <v>Linear Algebra - Sec 1 - Dr. Beaula</v>
      </c>
      <c r="D26" s="3" t="str">
        <f>IFERROR(__xludf.DUMMYFUNCTION("""COMPUTED_VALUE"""),"Linear Algebra - Sec 5 - Dr. Sangeetha")</f>
        <v>Linear Algebra - Sec 5 - Dr. Sangeetha</v>
      </c>
      <c r="E26" s="3" t="str">
        <f>IFERROR(__xludf.DUMMYFUNCTION("""COMPUTED_VALUE"""),"Design and analysis of algorithms - Sec 4 - Joydeep")</f>
        <v>Design and analysis of algorithms - Sec 4 - Joydeep</v>
      </c>
      <c r="F26" s="3" t="str">
        <f>IFERROR(__xludf.DUMMYFUNCTION("""COMPUTED_VALUE"""),"Foundation of Data Engineering - Sec 6 - Nitish")</f>
        <v>Foundation of Data Engineering - Sec 6 - Nitish</v>
      </c>
      <c r="G26" s="3" t="str">
        <f>IFERROR(__xludf.DUMMYFUNCTION("""COMPUTED_VALUE"""),"DL - Sem 5 - Dr. KK")</f>
        <v>DL - Sem 5 - Dr. KK</v>
      </c>
      <c r="H26" s="3" t="str">
        <f>IFERROR(__xludf.DUMMYFUNCTION("""COMPUTED_VALUE"""),"Advance_P - Sem 7 - Ujjwal")</f>
        <v>Advance_P - Sem 7 - Ujjwal</v>
      </c>
      <c r="I26" s="3" t="str">
        <f>IFERROR(__xludf.DUMMYFUNCTION("""COMPUTED_VALUE"""),"Labour Law 2 (    )")</f>
        <v>Labour Law 2 (    )</v>
      </c>
      <c r="J26" s="3" t="str">
        <f>IFERROR(__xludf.DUMMYFUNCTION("""COMPUTED_VALUE"""),"Community Psychology  Mridula")</f>
        <v>Community Psychology  Mridula</v>
      </c>
      <c r="K26" s="3" t="str">
        <f>IFERROR(__xludf.DUMMYFUNCTION("""COMPUTED_VALUE"""),"Law of Evidence                     Jaisy George")</f>
        <v>Law of Evidence                     Jaisy George</v>
      </c>
      <c r="L26" s="3" t="str">
        <f>IFERROR(__xludf.DUMMYFUNCTION("""COMPUTED_VALUE"""),"Molecular Neuroscience     Ms. Karen P Sneha")</f>
        <v>Molecular Neuroscience     Ms. Karen P Sneha</v>
      </c>
      <c r="M26" s="3" t="str">
        <f>IFERROR(__xludf.DUMMYFUNCTION("""COMPUTED_VALUE"""),"Political Science 1          Dr. Sridhar Krishnaswamy")</f>
        <v>Political Science 1          Dr. Sridhar Krishnaswamy</v>
      </c>
      <c r="N26" s="3" t="str">
        <f>IFERROR(__xludf.DUMMYFUNCTION("""COMPUTED_VALUE"""),"Introduction to Zoology    Dr. Anil / Ms. Shimantika")</f>
        <v>Introduction to Zoology    Dr. Anil / Ms. Shimantika</v>
      </c>
      <c r="O26" s="3"/>
      <c r="P26" s="3" t="str">
        <f>IFERROR(__xludf.DUMMYFUNCTION("""COMPUTED_VALUE"""),"Applied Biological Sciences                               Manobala")</f>
        <v>Applied Biological Sciences                               Manobala</v>
      </c>
      <c r="Q26" s="3"/>
      <c r="R26" s="3" t="str">
        <f>IFERROR(__xludf.DUMMYFUNCTION("""COMPUTED_VALUE"""),"Calculus and Linear Algebra           (Sem 1)      Arun Kumar")</f>
        <v>Calculus and Linear Algebra           (Sem 1)      Arun Kumar</v>
      </c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 t="str">
        <f>IFERROR(__xludf.DUMMYFUNCTION("""COMPUTED_VALUE"""),"AB2  -  101")</f>
        <v>AB2  -  101</v>
      </c>
      <c r="D27" s="3" t="str">
        <f>IFERROR(__xludf.DUMMYFUNCTION("""COMPUTED_VALUE"""),"AB2  -  203")</f>
        <v>AB2  -  203</v>
      </c>
      <c r="E27" s="3" t="str">
        <f>IFERROR(__xludf.DUMMYFUNCTION("""COMPUTED_VALUE"""),"AB2 - 202")</f>
        <v>AB2 - 202</v>
      </c>
      <c r="F27" s="3" t="str">
        <f>IFERROR(__xludf.DUMMYFUNCTION("""COMPUTED_VALUE"""),"AB1 - 101")</f>
        <v>AB1 - 101</v>
      </c>
      <c r="G27" s="3" t="str">
        <f>IFERROR(__xludf.DUMMYFUNCTION("""COMPUTED_VALUE"""),"AB2  -  207")</f>
        <v>AB2  -  207</v>
      </c>
      <c r="H27" s="3" t="str">
        <f>IFERROR(__xludf.DUMMYFUNCTION("""COMPUTED_VALUE"""),"AB2 - 205")</f>
        <v>AB2 - 205</v>
      </c>
      <c r="I27" s="3" t="str">
        <f>IFERROR(__xludf.DUMMYFUNCTION("""COMPUTED_VALUE"""),"AB2 - 206")</f>
        <v>AB2 - 206</v>
      </c>
      <c r="J27" s="3" t="str">
        <f>IFERROR(__xludf.DUMMYFUNCTION("""COMPUTED_VALUE"""),"AB2  -  210")</f>
        <v>AB2  -  210</v>
      </c>
      <c r="K27" s="3" t="str">
        <f>IFERROR(__xludf.DUMMYFUNCTION("""COMPUTED_VALUE"""),"AB1 - 201")</f>
        <v>AB1 - 201</v>
      </c>
      <c r="L27" s="3" t="str">
        <f>IFERROR(__xludf.DUMMYFUNCTION("""COMPUTED_VALUE"""),"AB2 - 204")</f>
        <v>AB2 - 204</v>
      </c>
      <c r="M27" s="3" t="str">
        <f>IFERROR(__xludf.DUMMYFUNCTION("""COMPUTED_VALUE"""),"AB2 - 209")</f>
        <v>AB2 - 209</v>
      </c>
      <c r="N27" s="3" t="str">
        <f>IFERROR(__xludf.DUMMYFUNCTION("""COMPUTED_VALUE"""),"AB2 - LAB")</f>
        <v>AB2 - LAB</v>
      </c>
      <c r="O27" s="3"/>
      <c r="P27" s="3" t="str">
        <f>IFERROR(__xludf.DUMMYFUNCTION("""COMPUTED_VALUE"""),"AB1 - 103")</f>
        <v>AB1 - 103</v>
      </c>
      <c r="Q27" s="3" t="str">
        <f>IFERROR(__xludf.DUMMYFUNCTION("""COMPUTED_VALUE"""),"AB2 - 201")</f>
        <v>AB2 - 201</v>
      </c>
      <c r="R27" s="3" t="str">
        <f>IFERROR(__xludf.DUMMYFUNCTION("""COMPUTED_VALUE"""),"AB1 - 104")</f>
        <v>AB1 - 104</v>
      </c>
      <c r="S27" s="3"/>
      <c r="T27" s="3"/>
      <c r="U27" s="3"/>
      <c r="V27" s="3"/>
      <c r="W27" s="3"/>
      <c r="X27" s="3"/>
      <c r="Y27" s="3"/>
      <c r="Z27" s="3"/>
    </row>
    <row r="28">
      <c r="A28" s="3"/>
      <c r="B28" s="3" t="str">
        <f>IFERROR(__xludf.DUMMYFUNCTION("""COMPUTED_VALUE"""),"11.15 AM - 12.10 PM")</f>
        <v>11.15 AM - 12.10 PM</v>
      </c>
      <c r="C28" s="3" t="str">
        <f>IFERROR(__xludf.DUMMYFUNCTION("""COMPUTED_VALUE"""),"Web Technology - Sec 6 - Aravind")</f>
        <v>Web Technology - Sec 6 - Aravind</v>
      </c>
      <c r="D28" s="3" t="str">
        <f>IFERROR(__xludf.DUMMYFUNCTION("""COMPUTED_VALUE"""),"Linear Algebra - Sec 4 - Dr. Tamilarasi")</f>
        <v>Linear Algebra - Sec 4 - Dr. Tamilarasi</v>
      </c>
      <c r="E28" s="3" t="str">
        <f>IFERROR(__xludf.DUMMYFUNCTION("""COMPUTED_VALUE"""),"Design and analysis of algorithms - Sec 5 - Joydeep")</f>
        <v>Design and analysis of algorithms - Sec 5 - Joydeep</v>
      </c>
      <c r="F28" s="3" t="str">
        <f>IFERROR(__xludf.DUMMYFUNCTION("""COMPUTED_VALUE"""),"Design and analysis of algorithms - Sec 3 - David")</f>
        <v>Design and analysis of algorithms - Sec 3 - David</v>
      </c>
      <c r="G28" s="3" t="str">
        <f>IFERROR(__xludf.DUMMYFUNCTION("""COMPUTED_VALUE"""),"Cybersecurity: Fundamental Concepts and Management  - Dr. Angel")</f>
        <v>Cybersecurity: Fundamental Concepts and Management  - Dr. Angel</v>
      </c>
      <c r="H28" s="3" t="str">
        <f>IFERROR(__xludf.DUMMYFUNCTION("""COMPUTED_VALUE"""),"TinyML - Sem 7 - Dr. Ashok")</f>
        <v>TinyML - Sem 7 - Dr. Ashok</v>
      </c>
      <c r="I28" s="3" t="str">
        <f>IFERROR(__xludf.DUMMYFUNCTION("""COMPUTED_VALUE"""),"Professional Ethics and Professional Accounting  (Payal Bhattacharjee)")</f>
        <v>Professional Ethics and Professional Accounting  (Payal Bhattacharjee)</v>
      </c>
      <c r="J28" s="3" t="str">
        <f>IFERROR(__xludf.DUMMYFUNCTION("""COMPUTED_VALUE"""),"Corporate and Business Law                                Anand Shrivas")</f>
        <v>Corporate and Business Law                                Anand Shrivas</v>
      </c>
      <c r="K28" s="3" t="str">
        <f>IFERROR(__xludf.DUMMYFUNCTION("""COMPUTED_VALUE"""),"Psychopathology  II                     Dr. Jemima")</f>
        <v>Psychopathology  II                     Dr. Jemima</v>
      </c>
      <c r="L28" s="3" t="str">
        <f>IFERROR(__xludf.DUMMYFUNCTION("""COMPUTED_VALUE"""),"Cell Physiology             Dr. Manobala / Moses")</f>
        <v>Cell Physiology             Dr. Manobala / Moses</v>
      </c>
      <c r="M28" s="3" t="str">
        <f>IFERROR(__xludf.DUMMYFUNCTION("""COMPUTED_VALUE"""),"Political Science 1          Dr. Sridhar Krishnaswamy")</f>
        <v>Political Science 1          Dr. Sridhar Krishnaswamy</v>
      </c>
      <c r="N28" s="3" t="str">
        <f>IFERROR(__xludf.DUMMYFUNCTION("""COMPUTED_VALUE"""),"Economics 3 / Modern Indian Economy")</f>
        <v>Economics 3 / Modern Indian Economy</v>
      </c>
      <c r="O28" s="3"/>
      <c r="P28" s="3" t="str">
        <f>IFERROR(__xludf.DUMMYFUNCTION("""COMPUTED_VALUE"""),"Business Mathematics and Statistics                                      Surya C")</f>
        <v>Business Mathematics and Statistics                                      Surya C</v>
      </c>
      <c r="Q28" s="3"/>
      <c r="R28" s="3" t="str">
        <f>IFERROR(__xludf.DUMMYFUNCTION("""COMPUTED_VALUE"""),"Frontiers of Machine Learning   Pankaj Jain")</f>
        <v>Frontiers of Machine Learning   Pankaj Jain</v>
      </c>
      <c r="S28" s="3" t="str">
        <f>IFERROR(__xludf.DUMMYFUNCTION("""COMPUTED_VALUE"""),"Chemistry                                        Ms. Karen P Sneha")</f>
        <v>Chemistry                                        Ms. Karen P Sneha</v>
      </c>
      <c r="T28" s="3"/>
      <c r="U28" s="3"/>
      <c r="V28" s="3"/>
      <c r="W28" s="3"/>
      <c r="X28" s="3"/>
      <c r="Y28" s="3"/>
      <c r="Z28" s="3"/>
    </row>
    <row r="29">
      <c r="A29" s="3"/>
      <c r="B29" s="3"/>
      <c r="C29" s="3" t="str">
        <f>IFERROR(__xludf.DUMMYFUNCTION("""COMPUTED_VALUE"""),"AB2  -  101")</f>
        <v>AB2  -  101</v>
      </c>
      <c r="D29" s="3" t="str">
        <f>IFERROR(__xludf.DUMMYFUNCTION("""COMPUTED_VALUE"""),"AB2  -  203")</f>
        <v>AB2  -  203</v>
      </c>
      <c r="E29" s="3" t="str">
        <f>IFERROR(__xludf.DUMMYFUNCTION("""COMPUTED_VALUE"""),"AB2 - 202")</f>
        <v>AB2 - 202</v>
      </c>
      <c r="F29" s="3" t="str">
        <f>IFERROR(__xludf.DUMMYFUNCTION("""COMPUTED_VALUE"""),"AB1 - 101")</f>
        <v>AB1 - 101</v>
      </c>
      <c r="G29" s="3" t="str">
        <f>IFERROR(__xludf.DUMMYFUNCTION("""COMPUTED_VALUE"""),"AB2 - 207")</f>
        <v>AB2 - 207</v>
      </c>
      <c r="H29" s="3" t="str">
        <f>IFERROR(__xludf.DUMMYFUNCTION("""COMPUTED_VALUE"""),"AB2  -  205")</f>
        <v>AB2  -  205</v>
      </c>
      <c r="I29" s="3" t="str">
        <f>IFERROR(__xludf.DUMMYFUNCTION("""COMPUTED_VALUE"""),"AB2 - 206")</f>
        <v>AB2 - 206</v>
      </c>
      <c r="J29" s="3" t="str">
        <f>IFERROR(__xludf.DUMMYFUNCTION("""COMPUTED_VALUE"""),"AB2  -  210")</f>
        <v>AB2  -  210</v>
      </c>
      <c r="K29" s="3" t="str">
        <f>IFERROR(__xludf.DUMMYFUNCTION("""COMPUTED_VALUE"""),"AB1 - 201")</f>
        <v>AB1 - 201</v>
      </c>
      <c r="L29" s="3" t="str">
        <f>IFERROR(__xludf.DUMMYFUNCTION("""COMPUTED_VALUE"""),"AB2 - 204")</f>
        <v>AB2 - 204</v>
      </c>
      <c r="M29" s="3" t="str">
        <f>IFERROR(__xludf.DUMMYFUNCTION("""COMPUTED_VALUE"""),"AB2 - 209")</f>
        <v>AB2 - 209</v>
      </c>
      <c r="N29" s="3" t="str">
        <f>IFERROR(__xludf.DUMMYFUNCTION("""COMPUTED_VALUE"""),"AB2 - 201")</f>
        <v>AB2 - 201</v>
      </c>
      <c r="O29" s="3" t="str">
        <f>IFERROR(__xludf.DUMMYFUNCTION("""COMPUTED_VALUE"""),"AB2 - 211")</f>
        <v>AB2 - 211</v>
      </c>
      <c r="P29" s="3" t="str">
        <f>IFERROR(__xludf.DUMMYFUNCTION("""COMPUTED_VALUE"""),"AB1 - 103")</f>
        <v>AB1 - 103</v>
      </c>
      <c r="Q29" s="3" t="str">
        <f>IFERROR(__xludf.DUMMYFUNCTION("""COMPUTED_VALUE"""),"AB2 - 201")</f>
        <v>AB2 - 201</v>
      </c>
      <c r="R29" s="3" t="str">
        <f>IFERROR(__xludf.DUMMYFUNCTION("""COMPUTED_VALUE"""),"AB1 - 104")</f>
        <v>AB1 - 104</v>
      </c>
      <c r="S29" s="3" t="str">
        <f>IFERROR(__xludf.DUMMYFUNCTION("""COMPUTED_VALUE"""),"AB2 - Biotech Lab")</f>
        <v>AB2 - Biotech Lab</v>
      </c>
      <c r="T29" s="3"/>
      <c r="U29" s="3"/>
      <c r="V29" s="3"/>
      <c r="W29" s="3"/>
      <c r="X29" s="3"/>
      <c r="Y29" s="3"/>
      <c r="Z29" s="3"/>
    </row>
    <row r="30">
      <c r="A30" s="3"/>
      <c r="B30" s="3" t="str">
        <f>IFERROR(__xludf.DUMMYFUNCTION("""COMPUTED_VALUE"""),"12:15 PM -  12:55 PM")</f>
        <v>12:15 PM -  12:55 PM</v>
      </c>
      <c r="C30" s="3" t="str">
        <f>IFERROR(__xludf.DUMMYFUNCTION("""COMPUTED_VALUE"""),"LUNCH BREAK")</f>
        <v>LUNCH BREAK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 t="str">
        <f>IFERROR(__xludf.DUMMYFUNCTION("""COMPUTED_VALUE"""),"12.15 PM - 01.10 PM")</f>
        <v>12.15 PM - 01.10 PM</v>
      </c>
      <c r="C32" s="3" t="str">
        <f>IFERROR(__xludf.DUMMYFUNCTION("""COMPUTED_VALUE"""),"Linear Algebra - Sec 6 - Dr. Sangeetha")</f>
        <v>Linear Algebra - Sec 6 - Dr. Sangeetha</v>
      </c>
      <c r="D32" s="3" t="str">
        <f>IFERROR(__xludf.DUMMYFUNCTION("""COMPUTED_VALUE"""),"Design and analysis of algorithms - Sec 3 - David")</f>
        <v>Design and analysis of algorithms - Sec 3 - David</v>
      </c>
      <c r="E32" s="3"/>
      <c r="F32" s="3"/>
      <c r="G32" s="3" t="str">
        <f>IFERROR(__xludf.DUMMYFUNCTION("""COMPUTED_VALUE"""),"Cybersecurity: Fundamental Concepts and Management  - Dr. Angel")</f>
        <v>Cybersecurity: Fundamental Concepts and Management  - Dr. Angel</v>
      </c>
      <c r="H32" s="3" t="str">
        <f>IFERROR(__xludf.DUMMYFUNCTION("""COMPUTED_VALUE"""),"Applied Mathematics - Sem1 - Dr. Beaula")</f>
        <v>Applied Mathematics - Sem1 - Dr. Beaula</v>
      </c>
      <c r="I32" s="3"/>
      <c r="J32" s="3" t="str">
        <f>IFERROR(__xludf.DUMMYFUNCTION("""COMPUTED_VALUE"""),"Analytical Methods &amp; Instrumentation   Manobala")</f>
        <v>Analytical Methods &amp; Instrumentation   Manobala</v>
      </c>
      <c r="K32" s="3" t="str">
        <f>IFERROR(__xludf.DUMMYFUNCTION("""COMPUTED_VALUE"""),"Chemistry                                        Ms. Karen P Sneha")</f>
        <v>Chemistry                                        Ms. Karen P Sneha</v>
      </c>
      <c r="L32" s="3" t="str">
        <f>IFERROR(__xludf.DUMMYFUNCTION("""COMPUTED_VALUE"""),"Developmental Psychology    Dr. Maya")</f>
        <v>Developmental Psychology    Dr. Maya</v>
      </c>
      <c r="M32" s="3" t="str">
        <f>IFERROR(__xludf.DUMMYFUNCTION("""COMPUTED_VALUE"""),"Cyber Laws (SL 040)    Sarath Mohan")</f>
        <v>Cyber Laws (SL 040)    Sarath Mohan</v>
      </c>
      <c r="N32" s="3" t="str">
        <f>IFERROR(__xludf.DUMMYFUNCTION("""COMPUTED_VALUE"""),"Economics 3 / Modern Indian Economy")</f>
        <v>Economics 3 / Modern Indian Economy</v>
      </c>
      <c r="O32" s="3"/>
      <c r="P32" s="3" t="str">
        <f>IFERROR(__xludf.DUMMYFUNCTION("""COMPUTED_VALUE"""),"Business Mathematics and Statistics                                      Surya C")</f>
        <v>Business Mathematics and Statistics                                      Surya C</v>
      </c>
      <c r="Q32" s="3"/>
      <c r="R32" s="3" t="str">
        <f>IFERROR(__xludf.DUMMYFUNCTION("""COMPUTED_VALUE"""),"Frontiers of Machine Learning   Pankaj Jain")</f>
        <v>Frontiers of Machine Learning   Pankaj Jain</v>
      </c>
      <c r="S32" s="3" t="str">
        <f>IFERROR(__xludf.DUMMYFUNCTION("""COMPUTED_VALUE"""),"Counselling Psychology     Dr. Jemima")</f>
        <v>Counselling Psychology     Dr. Jemima</v>
      </c>
      <c r="T32" s="3"/>
      <c r="U32" s="3"/>
      <c r="V32" s="3"/>
      <c r="W32" s="3"/>
      <c r="X32" s="3"/>
      <c r="Y32" s="3"/>
      <c r="Z32" s="3"/>
    </row>
    <row r="33">
      <c r="A33" s="3"/>
      <c r="B33" s="3"/>
      <c r="C33" s="3" t="str">
        <f>IFERROR(__xludf.DUMMYFUNCTION("""COMPUTED_VALUE"""),"AB2  -  101")</f>
        <v>AB2  -  101</v>
      </c>
      <c r="D33" s="3" t="str">
        <f>IFERROR(__xludf.DUMMYFUNCTION("""COMPUTED_VALUE"""),"AB2  -  203")</f>
        <v>AB2  -  203</v>
      </c>
      <c r="E33" s="3" t="str">
        <f>IFERROR(__xludf.DUMMYFUNCTION("""COMPUTED_VALUE"""),"AB2 - 202")</f>
        <v>AB2 - 202</v>
      </c>
      <c r="F33" s="3" t="str">
        <f>IFERROR(__xludf.DUMMYFUNCTION("""COMPUTED_VALUE"""),"AB1 - 101")</f>
        <v>AB1 - 101</v>
      </c>
      <c r="G33" s="3" t="str">
        <f>IFERROR(__xludf.DUMMYFUNCTION("""COMPUTED_VALUE"""),"AB2  -  207")</f>
        <v>AB2  -  207</v>
      </c>
      <c r="H33" s="3" t="str">
        <f>IFERROR(__xludf.DUMMYFUNCTION("""COMPUTED_VALUE"""),"AB2 - 205")</f>
        <v>AB2 - 205</v>
      </c>
      <c r="I33" s="3" t="str">
        <f>IFERROR(__xludf.DUMMYFUNCTION("""COMPUTED_VALUE"""),"AB2 - 206")</f>
        <v>AB2 - 206</v>
      </c>
      <c r="J33" s="3" t="str">
        <f>IFERROR(__xludf.DUMMYFUNCTION("""COMPUTED_VALUE"""),"AB2  -  210")</f>
        <v>AB2  -  210</v>
      </c>
      <c r="K33" s="3" t="str">
        <f>IFERROR(__xludf.DUMMYFUNCTION("""COMPUTED_VALUE"""),"AB1 - 201")</f>
        <v>AB1 - 201</v>
      </c>
      <c r="L33" s="3" t="str">
        <f>IFERROR(__xludf.DUMMYFUNCTION("""COMPUTED_VALUE"""),"AB2 - 204")</f>
        <v>AB2 - 204</v>
      </c>
      <c r="M33" s="3" t="str">
        <f>IFERROR(__xludf.DUMMYFUNCTION("""COMPUTED_VALUE"""),"AB2 - 209")</f>
        <v>AB2 - 209</v>
      </c>
      <c r="N33" s="3" t="str">
        <f>IFERROR(__xludf.DUMMYFUNCTION("""COMPUTED_VALUE"""),"AB2 - 201")</f>
        <v>AB2 - 201</v>
      </c>
      <c r="O33" s="3" t="str">
        <f>IFERROR(__xludf.DUMMYFUNCTION("""COMPUTED_VALUE"""),"AB2 - 211")</f>
        <v>AB2 - 211</v>
      </c>
      <c r="P33" s="3" t="str">
        <f>IFERROR(__xludf.DUMMYFUNCTION("""COMPUTED_VALUE"""),"AB1 - 103")</f>
        <v>AB1 - 103</v>
      </c>
      <c r="Q33" s="3" t="str">
        <f>IFERROR(__xludf.DUMMYFUNCTION("""COMPUTED_VALUE"""),"AB1 - 102")</f>
        <v>AB1 - 102</v>
      </c>
      <c r="R33" s="3" t="str">
        <f>IFERROR(__xludf.DUMMYFUNCTION("""COMPUTED_VALUE"""),"AB1 - 104")</f>
        <v>AB1 - 104</v>
      </c>
      <c r="S33" s="3" t="str">
        <f>IFERROR(__xludf.DUMMYFUNCTION("""COMPUTED_VALUE"""),"AB2 - Faculty Conference Room ")</f>
        <v>AB2 - Faculty Conference Room </v>
      </c>
      <c r="T33" s="3"/>
      <c r="U33" s="3"/>
      <c r="V33" s="3"/>
      <c r="W33" s="3"/>
      <c r="X33" s="3"/>
      <c r="Y33" s="3"/>
      <c r="Z33" s="3"/>
    </row>
    <row r="34">
      <c r="A34" s="3"/>
      <c r="B34" s="3" t="str">
        <f>IFERROR(__xludf.DUMMYFUNCTION("""COMPUTED_VALUE"""),"01:15 PM - 01.55 PM")</f>
        <v>01:15 PM - 01.55 PM</v>
      </c>
      <c r="C34" s="3" t="str">
        <f>IFERROR(__xludf.DUMMYFUNCTION("""COMPUTED_VALUE"""),"LUNCH BREAK")</f>
        <v>LUNCH BREAK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 t="str">
        <f>IFERROR(__xludf.DUMMYFUNCTION("""COMPUTED_VALUE"""),"01.00PM - 01.55PM")</f>
        <v>01.00PM - 01.55PM</v>
      </c>
      <c r="C36" s="3" t="str">
        <f>IFERROR(__xludf.DUMMYFUNCTION("""COMPUTED_VALUE"""),"Web Technology - Sec 5 - Aravind")</f>
        <v>Web Technology - Sec 5 - Aravind</v>
      </c>
      <c r="D36" s="3" t="str">
        <f>IFERROR(__xludf.DUMMYFUNCTION("""COMPUTED_VALUE"""),"Linear Algebra - Sec 7 - Dr. Tamilarasi")</f>
        <v>Linear Algebra - Sec 7 - Dr. Tamilarasi</v>
      </c>
      <c r="E36" s="3"/>
      <c r="F36" s="3"/>
      <c r="G36" s="3"/>
      <c r="H36" s="3" t="str">
        <f>IFERROR(__xludf.DUMMYFUNCTION("""COMPUTED_VALUE"""),"TinyML - Sem 7 - Dr. Ashok")</f>
        <v>TinyML - Sem 7 - Dr. Ashok</v>
      </c>
      <c r="I36" s="3" t="str">
        <f>IFERROR(__xludf.DUMMYFUNCTION("""COMPUTED_VALUE"""),"Forensic Psychology                 Dr Mridula")</f>
        <v>Forensic Psychology                 Dr Mridula</v>
      </c>
      <c r="J36" s="3" t="str">
        <f>IFERROR(__xludf.DUMMYFUNCTION("""COMPUTED_VALUE"""),"Analytical Methods &amp; Instrumentation   Manobala")</f>
        <v>Analytical Methods &amp; Instrumentation   Manobala</v>
      </c>
      <c r="K36" s="3" t="str">
        <f>IFERROR(__xludf.DUMMYFUNCTION("""COMPUTED_VALUE"""),"Environmental Law")</f>
        <v>Environmental Law</v>
      </c>
      <c r="L36" s="3" t="str">
        <f>IFERROR(__xludf.DUMMYFUNCTION("""COMPUTED_VALUE"""),"Conflicts in Contemporary International Relations   Dr. Sridhar Krishnaswamy")</f>
        <v>Conflicts in Contemporary International Relations   Dr. Sridhar Krishnaswamy</v>
      </c>
      <c r="M36" s="3" t="str">
        <f>IFERROR(__xludf.DUMMYFUNCTION("""COMPUTED_VALUE"""),"General Mathematics                  Dr. Sivan")</f>
        <v>General Mathematics                  Dr. Sivan</v>
      </c>
      <c r="N36" s="3" t="str">
        <f>IFERROR(__xludf.DUMMYFUNCTION("""COMPUTED_VALUE"""),"Introduction to Cognitive Neuroscience                                Dr. Anil")</f>
        <v>Introduction to Cognitive Neuroscience                                Dr. Anil</v>
      </c>
      <c r="O36" s="3" t="str">
        <f>IFERROR(__xludf.DUMMYFUNCTION("""COMPUTED_VALUE"""),"Corporate and Business Law                                Anand Shrivas")</f>
        <v>Corporate and Business Law                                Anand Shrivas</v>
      </c>
      <c r="P36" s="3" t="str">
        <f>IFERROR(__xludf.DUMMYFUNCTION("""COMPUTED_VALUE"""),"Environmental Biotechnology                             Dr. Vigneswaran")</f>
        <v>Environmental Biotechnology                             Dr. Vigneswaran</v>
      </c>
      <c r="Q36" s="3"/>
      <c r="R36" s="3" t="str">
        <f>IFERROR(__xludf.DUMMYFUNCTION("""COMPUTED_VALUE"""),"Calculus and Linear Algebra           (Sem 1)      Arun Kumar")</f>
        <v>Calculus and Linear Algebra           (Sem 1)      Arun Kumar</v>
      </c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 t="str">
        <f>IFERROR(__xludf.DUMMYFUNCTION("""COMPUTED_VALUE"""),"AB2  -  101")</f>
        <v>AB2  -  101</v>
      </c>
      <c r="D37" s="3" t="str">
        <f>IFERROR(__xludf.DUMMYFUNCTION("""COMPUTED_VALUE"""),"AB2  -  203")</f>
        <v>AB2  -  203</v>
      </c>
      <c r="E37" s="3" t="str">
        <f>IFERROR(__xludf.DUMMYFUNCTION("""COMPUTED_VALUE"""),"AB2 - 202")</f>
        <v>AB2 - 202</v>
      </c>
      <c r="F37" s="3" t="str">
        <f>IFERROR(__xludf.DUMMYFUNCTION("""COMPUTED_VALUE"""),"AB1 - 101")</f>
        <v>AB1 - 101</v>
      </c>
      <c r="G37" s="3" t="str">
        <f>IFERROR(__xludf.DUMMYFUNCTION("""COMPUTED_VALUE"""),"AB2  -  207")</f>
        <v>AB2  -  207</v>
      </c>
      <c r="H37" s="3" t="str">
        <f>IFERROR(__xludf.DUMMYFUNCTION("""COMPUTED_VALUE"""),"AB2 - 205")</f>
        <v>AB2 - 205</v>
      </c>
      <c r="I37" s="3" t="str">
        <f>IFERROR(__xludf.DUMMYFUNCTION("""COMPUTED_VALUE"""),"AB2 - 206")</f>
        <v>AB2 - 206</v>
      </c>
      <c r="J37" s="3" t="str">
        <f>IFERROR(__xludf.DUMMYFUNCTION("""COMPUTED_VALUE"""),"AB2  -  210")</f>
        <v>AB2  -  210</v>
      </c>
      <c r="K37" s="3" t="str">
        <f>IFERROR(__xludf.DUMMYFUNCTION("""COMPUTED_VALUE"""),"AB1 - 201")</f>
        <v>AB1 - 201</v>
      </c>
      <c r="L37" s="3" t="str">
        <f>IFERROR(__xludf.DUMMYFUNCTION("""COMPUTED_VALUE"""),"AB2 - 204")</f>
        <v>AB2 - 204</v>
      </c>
      <c r="M37" s="3" t="str">
        <f>IFERROR(__xludf.DUMMYFUNCTION("""COMPUTED_VALUE"""),"AB2 - 209")</f>
        <v>AB2 - 209</v>
      </c>
      <c r="N37" s="3" t="str">
        <f>IFERROR(__xludf.DUMMYFUNCTION("""COMPUTED_VALUE"""),"AB2 - 201")</f>
        <v>AB2 - 201</v>
      </c>
      <c r="O37" s="3" t="str">
        <f>IFERROR(__xludf.DUMMYFUNCTION("""COMPUTED_VALUE"""),"AB2 - 211")</f>
        <v>AB2 - 211</v>
      </c>
      <c r="P37" s="3" t="str">
        <f>IFERROR(__xludf.DUMMYFUNCTION("""COMPUTED_VALUE"""),"AB1 - 103")</f>
        <v>AB1 - 103</v>
      </c>
      <c r="Q37" s="3" t="str">
        <f>IFERROR(__xludf.DUMMYFUNCTION("""COMPUTED_VALUE"""),"AB1 - 102")</f>
        <v>AB1 - 102</v>
      </c>
      <c r="R37" s="3" t="str">
        <f>IFERROR(__xludf.DUMMYFUNCTION("""COMPUTED_VALUE"""),"AB1 - 104")</f>
        <v>AB1 - 104</v>
      </c>
      <c r="S37" s="3"/>
      <c r="T37" s="3"/>
      <c r="U37" s="3"/>
      <c r="V37" s="3"/>
      <c r="W37" s="3"/>
      <c r="X37" s="3"/>
      <c r="Y37" s="3"/>
      <c r="Z37" s="3"/>
    </row>
    <row r="38">
      <c r="A38" s="3"/>
      <c r="B38" s="3" t="str">
        <f>IFERROR(__xludf.DUMMYFUNCTION("""COMPUTED_VALUE"""),"02.00 PM - 2.55PM")</f>
        <v>02.00 PM - 2.55PM</v>
      </c>
      <c r="C38" s="3" t="str">
        <f>IFERROR(__xludf.DUMMYFUNCTION("""COMPUTED_VALUE"""),"Web Technology - Sec 5 - Aravind")</f>
        <v>Web Technology - Sec 5 - Aravind</v>
      </c>
      <c r="D38" s="3" t="str">
        <f>IFERROR(__xludf.DUMMYFUNCTION("""COMPUTED_VALUE"""),"Linear Algebra - Sec 6 - Dr. Sangeetha")</f>
        <v>Linear Algebra - Sec 6 - Dr. Sangeetha</v>
      </c>
      <c r="E38" s="3" t="str">
        <f>IFERROR(__xludf.DUMMYFUNCTION("""COMPUTED_VALUE"""),"Foundation of Data Engineering - Sec 7 - Nitish")</f>
        <v>Foundation of Data Engineering - Sec 7 - Nitish</v>
      </c>
      <c r="F38" s="3"/>
      <c r="G38" s="3" t="str">
        <f>IFERROR(__xludf.DUMMYFUNCTION("""COMPUTED_VALUE"""),"ET - Sec 1 - Arjun")</f>
        <v>ET - Sec 1 - Arjun</v>
      </c>
      <c r="H38" s="3" t="str">
        <f>IFERROR(__xludf.DUMMYFUNCTION("""COMPUTED_VALUE"""),"Agentic AI  - Sem 7 - Sonar")</f>
        <v>Agentic AI  - Sem 7 - Sonar</v>
      </c>
      <c r="I38" s="3" t="str">
        <f>IFERROR(__xludf.DUMMYFUNCTION("""COMPUTED_VALUE"""),"Law of Insurance -                      Sanjay Bang")</f>
        <v>Law of Insurance -                      Sanjay Bang</v>
      </c>
      <c r="J38" s="3" t="str">
        <f>IFERROR(__xludf.DUMMYFUNCTION("""COMPUTED_VALUE"""),"Property Law                    Anjana Janardhanan")</f>
        <v>Property Law                    Anjana Janardhanan</v>
      </c>
      <c r="K38" s="3" t="str">
        <f>IFERROR(__xludf.DUMMYFUNCTION("""COMPUTED_VALUE"""),"Constitutional Law - 1    Sarath Mohan")</f>
        <v>Constitutional Law - 1    Sarath Mohan</v>
      </c>
      <c r="L38" s="3" t="str">
        <f>IFERROR(__xludf.DUMMYFUNCTION("""COMPUTED_VALUE"""),"Organizational Psychology - Micro Perspective                             Dr. Maya")</f>
        <v>Organizational Psychology - Micro Perspective                             Dr. Maya</v>
      </c>
      <c r="M38" s="3" t="str">
        <f>IFERROR(__xludf.DUMMYFUNCTION("""COMPUTED_VALUE"""),"Microbiology       Manobala")</f>
        <v>Microbiology       Manobala</v>
      </c>
      <c r="N38" s="3" t="str">
        <f>IFERROR(__xludf.DUMMYFUNCTION("""COMPUTED_VALUE"""),"Introduction to Cognitive Neuroscience                                Dr. Anil")</f>
        <v>Introduction to Cognitive Neuroscience                                Dr. Anil</v>
      </c>
      <c r="O38" s="3" t="str">
        <f>IFERROR(__xludf.DUMMYFUNCTION("""COMPUTED_VALUE"""),"Principles of Financial Management                Surya")</f>
        <v>Principles of Financial Management                Surya</v>
      </c>
      <c r="P38" s="3" t="str">
        <f>IFERROR(__xludf.DUMMYFUNCTION("""COMPUTED_VALUE"""),"Law of Torts                (Payal)")</f>
        <v>Law of Torts                (Payal)</v>
      </c>
      <c r="Q38" s="3"/>
      <c r="R38" s="3" t="str">
        <f>IFERROR(__xludf.DUMMYFUNCTION("""COMPUTED_VALUE"""),"Discrete Mathematics &amp; Set Theory                             ArunKumar")</f>
        <v>Discrete Mathematics &amp; Set Theory                             ArunKumar</v>
      </c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 t="str">
        <f>IFERROR(__xludf.DUMMYFUNCTION("""COMPUTED_VALUE"""),"AB2 -  101")</f>
        <v>AB2 -  101</v>
      </c>
      <c r="D39" s="3" t="str">
        <f>IFERROR(__xludf.DUMMYFUNCTION("""COMPUTED_VALUE"""),"AB2  -  203")</f>
        <v>AB2  -  203</v>
      </c>
      <c r="E39" s="3" t="str">
        <f>IFERROR(__xludf.DUMMYFUNCTION("""COMPUTED_VALUE"""),"AB2 - 202")</f>
        <v>AB2 - 202</v>
      </c>
      <c r="F39" s="3" t="str">
        <f>IFERROR(__xludf.DUMMYFUNCTION("""COMPUTED_VALUE"""),"AB1 - 101")</f>
        <v>AB1 - 101</v>
      </c>
      <c r="G39" s="3" t="str">
        <f>IFERROR(__xludf.DUMMYFUNCTION("""COMPUTED_VALUE"""),"AB2  -  207")</f>
        <v>AB2  -  207</v>
      </c>
      <c r="H39" s="3" t="str">
        <f>IFERROR(__xludf.DUMMYFUNCTION("""COMPUTED_VALUE"""),"AB2 - 205")</f>
        <v>AB2 - 205</v>
      </c>
      <c r="I39" s="3" t="str">
        <f>IFERROR(__xludf.DUMMYFUNCTION("""COMPUTED_VALUE"""),"AB2 - 206")</f>
        <v>AB2 - 206</v>
      </c>
      <c r="J39" s="3" t="str">
        <f>IFERROR(__xludf.DUMMYFUNCTION("""COMPUTED_VALUE"""),"AB2  -  210")</f>
        <v>AB2  -  210</v>
      </c>
      <c r="K39" s="3" t="str">
        <f>IFERROR(__xludf.DUMMYFUNCTION("""COMPUTED_VALUE"""),"AB1 - 201")</f>
        <v>AB1 - 201</v>
      </c>
      <c r="L39" s="3" t="str">
        <f>IFERROR(__xludf.DUMMYFUNCTION("""COMPUTED_VALUE"""),"AB2 - 204")</f>
        <v>AB2 - 204</v>
      </c>
      <c r="M39" s="3" t="str">
        <f>IFERROR(__xludf.DUMMYFUNCTION("""COMPUTED_VALUE"""),"AB2 - 209")</f>
        <v>AB2 - 209</v>
      </c>
      <c r="N39" s="3" t="str">
        <f>IFERROR(__xludf.DUMMYFUNCTION("""COMPUTED_VALUE"""),"AB2 - 201")</f>
        <v>AB2 - 201</v>
      </c>
      <c r="O39" s="3" t="str">
        <f>IFERROR(__xludf.DUMMYFUNCTION("""COMPUTED_VALUE"""),"AB2 - 211")</f>
        <v>AB2 - 211</v>
      </c>
      <c r="P39" s="3" t="str">
        <f>IFERROR(__xludf.DUMMYFUNCTION("""COMPUTED_VALUE"""),"AB1 - 103")</f>
        <v>AB1 - 103</v>
      </c>
      <c r="Q39" s="3" t="str">
        <f>IFERROR(__xludf.DUMMYFUNCTION("""COMPUTED_VALUE"""),"AB1 - 102")</f>
        <v>AB1 - 102</v>
      </c>
      <c r="R39" s="3" t="str">
        <f>IFERROR(__xludf.DUMMYFUNCTION("""COMPUTED_VALUE"""),"AB1 - 104")</f>
        <v>AB1 - 104</v>
      </c>
      <c r="S39" s="3"/>
      <c r="T39" s="3"/>
      <c r="U39" s="3"/>
      <c r="V39" s="3"/>
      <c r="W39" s="3"/>
      <c r="X39" s="3"/>
      <c r="Y39" s="3"/>
      <c r="Z39" s="3"/>
    </row>
    <row r="40">
      <c r="A40" s="3"/>
      <c r="B40" s="3" t="str">
        <f>IFERROR(__xludf.DUMMYFUNCTION("""COMPUTED_VALUE"""),"03.00 PM - 03.55 PM")</f>
        <v>03.00 PM - 03.55 PM</v>
      </c>
      <c r="C40" s="3"/>
      <c r="D40" s="3" t="str">
        <f>IFERROR(__xludf.DUMMYFUNCTION("""COMPUTED_VALUE"""),"INTT EMB - Sec 1 - Dr. Ashok")</f>
        <v>INTT EMB - Sec 1 - Dr. Ashok</v>
      </c>
      <c r="E40" s="3" t="str">
        <f>IFERROR(__xludf.DUMMYFUNCTION("""COMPUTED_VALUE"""),"Indian Constitution &amp; Democracy - Sem1 -            Sarath Mohan")</f>
        <v>Indian Constitution &amp; Democracy - Sem1 -            Sarath Mohan</v>
      </c>
      <c r="F40" s="3"/>
      <c r="G40" s="3"/>
      <c r="H40" s="3" t="str">
        <f>IFERROR(__xludf.DUMMYFUNCTION("""COMPUTED_VALUE"""),"Agentic AI  - Sem 7 - Sonar")</f>
        <v>Agentic AI  - Sem 7 - Sonar</v>
      </c>
      <c r="I40" s="3" t="str">
        <f>IFERROR(__xludf.DUMMYFUNCTION("""COMPUTED_VALUE"""),"Introduction to Literature      Akshata Pai")</f>
        <v>Introduction to Literature      Akshata Pai</v>
      </c>
      <c r="J40" s="3" t="str">
        <f>IFERROR(__xludf.DUMMYFUNCTION("""COMPUTED_VALUE"""),"Moot Court and Internship - Nasma Sultana")</f>
        <v>Moot Court and Internship - Nasma Sultana</v>
      </c>
      <c r="K40" s="3" t="str">
        <f>IFERROR(__xludf.DUMMYFUNCTION("""COMPUTED_VALUE"""),"Thinking through Indian Traditions                              Ankita Kushwaha")</f>
        <v>Thinking through Indian Traditions                              Ankita Kushwaha</v>
      </c>
      <c r="L40" s="3" t="str">
        <f>IFERROR(__xludf.DUMMYFUNCTION("""COMPUTED_VALUE"""),"Company Law   - Anand Shrivas")</f>
        <v>Company Law   - Anand Shrivas</v>
      </c>
      <c r="M40" s="3" t="str">
        <f>IFERROR(__xludf.DUMMYFUNCTION("""COMPUTED_VALUE"""),"English - 1                     Grace")</f>
        <v>English - 1                     Grace</v>
      </c>
      <c r="N40" s="3" t="str">
        <f>IFERROR(__xludf.DUMMYFUNCTION("""COMPUTED_VALUE"""),"Psychiatry and Mood Disorders                             Dr. Anil")</f>
        <v>Psychiatry and Mood Disorders                             Dr. Anil</v>
      </c>
      <c r="O40" s="3"/>
      <c r="P40" s="3" t="str">
        <f>IFERROR(__xludf.DUMMYFUNCTION("""COMPUTED_VALUE"""),"Introduction to Financial Accounting                                        Surya C")</f>
        <v>Introduction to Financial Accounting                                        Surya C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 t="str">
        <f>IFERROR(__xludf.DUMMYFUNCTION("""COMPUTED_VALUE"""),"AB2  -  101")</f>
        <v>AB2  -  101</v>
      </c>
      <c r="D41" s="3" t="str">
        <f>IFERROR(__xludf.DUMMYFUNCTION("""COMPUTED_VALUE"""),"AB2  -  203")</f>
        <v>AB2  -  203</v>
      </c>
      <c r="E41" s="3" t="str">
        <f>IFERROR(__xludf.DUMMYFUNCTION("""COMPUTED_VALUE"""),"AB2 - 202")</f>
        <v>AB2 - 202</v>
      </c>
      <c r="F41" s="3" t="str">
        <f>IFERROR(__xludf.DUMMYFUNCTION("""COMPUTED_VALUE"""),"AB1 - 101")</f>
        <v>AB1 - 101</v>
      </c>
      <c r="G41" s="3" t="str">
        <f>IFERROR(__xludf.DUMMYFUNCTION("""COMPUTED_VALUE"""),"AB2  -  207")</f>
        <v>AB2  -  207</v>
      </c>
      <c r="H41" s="3" t="str">
        <f>IFERROR(__xludf.DUMMYFUNCTION("""COMPUTED_VALUE"""),"AB2 - 205")</f>
        <v>AB2 - 205</v>
      </c>
      <c r="I41" s="3" t="str">
        <f>IFERROR(__xludf.DUMMYFUNCTION("""COMPUTED_VALUE"""),"AB2 - 206")</f>
        <v>AB2 - 206</v>
      </c>
      <c r="J41" s="3" t="str">
        <f>IFERROR(__xludf.DUMMYFUNCTION("""COMPUTED_VALUE"""),"AB2  -  210")</f>
        <v>AB2  -  210</v>
      </c>
      <c r="K41" s="3" t="str">
        <f>IFERROR(__xludf.DUMMYFUNCTION("""COMPUTED_VALUE"""),"AB1 - 201")</f>
        <v>AB1 - 201</v>
      </c>
      <c r="L41" s="3" t="str">
        <f>IFERROR(__xludf.DUMMYFUNCTION("""COMPUTED_VALUE"""),"AB2 - 204")</f>
        <v>AB2 - 204</v>
      </c>
      <c r="M41" s="3" t="str">
        <f>IFERROR(__xludf.DUMMYFUNCTION("""COMPUTED_VALUE"""),"AB2 - 209")</f>
        <v>AB2 - 209</v>
      </c>
      <c r="N41" s="3" t="str">
        <f>IFERROR(__xludf.DUMMYFUNCTION("""COMPUTED_VALUE"""),"AB2 - 201")</f>
        <v>AB2 - 201</v>
      </c>
      <c r="O41" s="3" t="str">
        <f>IFERROR(__xludf.DUMMYFUNCTION("""COMPUTED_VALUE"""),"AB2 - 211")</f>
        <v>AB2 - 211</v>
      </c>
      <c r="P41" s="3" t="str">
        <f>IFERROR(__xludf.DUMMYFUNCTION("""COMPUTED_VALUE"""),"AB1 - 103")</f>
        <v>AB1 - 103</v>
      </c>
      <c r="Q41" s="3" t="str">
        <f>IFERROR(__xludf.DUMMYFUNCTION("""COMPUTED_VALUE"""),"AB1 - 102")</f>
        <v>AB1 - 102</v>
      </c>
      <c r="R41" s="3" t="str">
        <f>IFERROR(__xludf.DUMMYFUNCTION("""COMPUTED_VALUE"""),"AB1 - 104")</f>
        <v>AB1 - 104</v>
      </c>
      <c r="S41" s="3"/>
      <c r="T41" s="3"/>
      <c r="U41" s="3"/>
      <c r="V41" s="3"/>
      <c r="W41" s="3"/>
      <c r="X41" s="3"/>
      <c r="Y41" s="3"/>
      <c r="Z41" s="3"/>
    </row>
    <row r="42">
      <c r="A42" s="3"/>
      <c r="B42" s="3" t="str">
        <f>IFERROR(__xludf.DUMMYFUNCTION("""COMPUTED_VALUE"""),"04.00 PM - 04.55 PM")</f>
        <v>04.00 PM - 04.55 PM</v>
      </c>
      <c r="C42" s="3"/>
      <c r="D42" s="3" t="str">
        <f>IFERROR(__xludf.DUMMYFUNCTION("""COMPUTED_VALUE"""),"INTT EMB - Sec 1 - Dr. Ashok")</f>
        <v>INTT EMB - Sec 1 - Dr. Ashok</v>
      </c>
      <c r="E42" s="3" t="str">
        <f>IFERROR(__xludf.DUMMYFUNCTION("""COMPUTED_VALUE"""),"Frontiers of AI Sem 1                          Dr. Pankaj Jain")</f>
        <v>Frontiers of AI Sem 1                          Dr. Pankaj Jain</v>
      </c>
      <c r="F42" s="3"/>
      <c r="G42" s="3"/>
      <c r="H42" s="3"/>
      <c r="I42" s="3" t="str">
        <f>IFERROR(__xludf.DUMMYFUNCTION("""COMPUTED_VALUE"""),"Introduction to Literature      Akshata Pai")</f>
        <v>Introduction to Literature      Akshata Pai</v>
      </c>
      <c r="J42" s="3" t="str">
        <f>IFERROR(__xludf.DUMMYFUNCTION("""COMPUTED_VALUE"""),"Law of Evidence                     Jaisy George")</f>
        <v>Law of Evidence                     Jaisy George</v>
      </c>
      <c r="K42" s="3" t="str">
        <f>IFERROR(__xludf.DUMMYFUNCTION("""COMPUTED_VALUE"""),"Cyber Laws (SL 040)    Sarath Mohan")</f>
        <v>Cyber Laws (SL 040)    Sarath Mohan</v>
      </c>
      <c r="L42" s="3" t="str">
        <f>IFERROR(__xludf.DUMMYFUNCTION("""COMPUTED_VALUE"""),"Protein &amp; Enzymes       Manobala")</f>
        <v>Protein &amp; Enzymes       Manobala</v>
      </c>
      <c r="M42" s="3" t="str">
        <f>IFERROR(__xludf.DUMMYFUNCTION("""COMPUTED_VALUE"""),"Law of Torts                (Payal)")</f>
        <v>Law of Torts                (Payal)</v>
      </c>
      <c r="N42" s="3" t="str">
        <f>IFERROR(__xludf.DUMMYFUNCTION("""COMPUTED_VALUE"""),"Basic Chemical Engineering                              Dr. Vigneswaran")</f>
        <v>Basic Chemical Engineering                              Dr. Vigneswaran</v>
      </c>
      <c r="O42" s="3"/>
      <c r="P42" s="3" t="str">
        <f>IFERROR(__xludf.DUMMYFUNCTION("""COMPUTED_VALUE"""),"Introduction to Financial Accounting                                        Surya C")</f>
        <v>Introduction to Financial Accounting                                        Surya C</v>
      </c>
      <c r="Q42" s="3"/>
      <c r="R42" s="3" t="str">
        <f>IFERROR(__xludf.DUMMYFUNCTION("""COMPUTED_VALUE"""),"Human AI Interaction                     Pankaj Jain")</f>
        <v>Human AI Interaction                     Pankaj Jain</v>
      </c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 t="str">
        <f>IFERROR(__xludf.DUMMYFUNCTION("""COMPUTED_VALUE"""),"AB2  -  101")</f>
        <v>AB2  -  101</v>
      </c>
      <c r="D43" s="3" t="str">
        <f>IFERROR(__xludf.DUMMYFUNCTION("""COMPUTED_VALUE"""),"AB2  -  203")</f>
        <v>AB2  -  203</v>
      </c>
      <c r="E43" s="3" t="str">
        <f>IFERROR(__xludf.DUMMYFUNCTION("""COMPUTED_VALUE"""),"AB2 - 202")</f>
        <v>AB2 - 202</v>
      </c>
      <c r="F43" s="3" t="str">
        <f>IFERROR(__xludf.DUMMYFUNCTION("""COMPUTED_VALUE"""),"AB1 - 101")</f>
        <v>AB1 - 101</v>
      </c>
      <c r="G43" s="3" t="str">
        <f>IFERROR(__xludf.DUMMYFUNCTION("""COMPUTED_VALUE"""),"AB2  -  207")</f>
        <v>AB2  -  207</v>
      </c>
      <c r="H43" s="3" t="str">
        <f>IFERROR(__xludf.DUMMYFUNCTION("""COMPUTED_VALUE"""),"AB2 - 205")</f>
        <v>AB2 - 205</v>
      </c>
      <c r="I43" s="3" t="str">
        <f>IFERROR(__xludf.DUMMYFUNCTION("""COMPUTED_VALUE"""),"AB2 - 206")</f>
        <v>AB2 - 206</v>
      </c>
      <c r="J43" s="3" t="str">
        <f>IFERROR(__xludf.DUMMYFUNCTION("""COMPUTED_VALUE"""),"AB2  -  210")</f>
        <v>AB2  -  210</v>
      </c>
      <c r="K43" s="3" t="str">
        <f>IFERROR(__xludf.DUMMYFUNCTION("""COMPUTED_VALUE"""),"AB1 - 201")</f>
        <v>AB1 - 201</v>
      </c>
      <c r="L43" s="3" t="str">
        <f>IFERROR(__xludf.DUMMYFUNCTION("""COMPUTED_VALUE"""),"AB2 - 204")</f>
        <v>AB2 - 204</v>
      </c>
      <c r="M43" s="3" t="str">
        <f>IFERROR(__xludf.DUMMYFUNCTION("""COMPUTED_VALUE"""),"AB2 - 209")</f>
        <v>AB2 - 209</v>
      </c>
      <c r="N43" s="3" t="str">
        <f>IFERROR(__xludf.DUMMYFUNCTION("""COMPUTED_VALUE"""),"AB2 - 201")</f>
        <v>AB2 - 201</v>
      </c>
      <c r="O43" s="3" t="str">
        <f>IFERROR(__xludf.DUMMYFUNCTION("""COMPUTED_VALUE"""),"AB2 - 211")</f>
        <v>AB2 - 211</v>
      </c>
      <c r="P43" s="3" t="str">
        <f>IFERROR(__xludf.DUMMYFUNCTION("""COMPUTED_VALUE"""),"AB1 - 103")</f>
        <v>AB1 - 103</v>
      </c>
      <c r="Q43" s="3" t="str">
        <f>IFERROR(__xludf.DUMMYFUNCTION("""COMPUTED_VALUE"""),"AB1 - 102")</f>
        <v>AB1 - 102</v>
      </c>
      <c r="R43" s="3" t="str">
        <f>IFERROR(__xludf.DUMMYFUNCTION("""COMPUTED_VALUE"""),"AB1 - 104")</f>
        <v>AB1 - 104</v>
      </c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tr">
        <f>IFERROR(__xludf.DUMMYFUNCTION("""COMPUTED_VALUE"""),"WEDNESDAY")</f>
        <v>WEDNESDAY</v>
      </c>
      <c r="B45" s="3" t="str">
        <f>IFERROR(__xludf.DUMMYFUNCTION("""COMPUTED_VALUE"""),"09:15 AM -  10:10 AM")</f>
        <v>09:15 AM -  10:10 AM</v>
      </c>
      <c r="C45" s="3" t="str">
        <f>IFERROR(__xludf.DUMMYFUNCTION("""COMPUTED_VALUE"""),"Design and analysis of algorithms - Sec 1 - David")</f>
        <v>Design and analysis of algorithms - Sec 1 - David</v>
      </c>
      <c r="D45" s="3" t="str">
        <f>IFERROR(__xludf.DUMMYFUNCTION("""COMPUTED_VALUE"""),"Foundation of Data Engineering - Sec 3 - Mariya")</f>
        <v>Foundation of Data Engineering - Sec 3 - Mariya</v>
      </c>
      <c r="E45" s="3" t="str">
        <f>IFERROR(__xludf.DUMMYFUNCTION("""COMPUTED_VALUE"""),"Web Technology - Sec 2 - Rupam Sah")</f>
        <v>Web Technology - Sec 2 - Rupam Sah</v>
      </c>
      <c r="F45" s="3" t="str">
        <f>IFERROR(__xludf.DUMMYFUNCTION("""COMPUTED_VALUE"""),"Linear Algebra - Sec 4 - Dr. Tamilarasi")</f>
        <v>Linear Algebra - Sec 4 - Dr. Tamilarasi</v>
      </c>
      <c r="G45" s="3" t="str">
        <f>IFERROR(__xludf.DUMMYFUNCTION("""COMPUTED_VALUE"""),"DL - Sem 5 - Dr. KK")</f>
        <v>DL - Sem 5 - Dr. KK</v>
      </c>
      <c r="H45" s="3" t="str">
        <f>IFERROR(__xludf.DUMMYFUNCTION("""COMPUTED_VALUE"""),"Engineering Foundations and Applications - Sem1 - Joydeep")</f>
        <v>Engineering Foundations and Applications - Sem1 - Joydeep</v>
      </c>
      <c r="I45" s="3" t="str">
        <f>IFERROR(__xludf.DUMMYFUNCTION("""COMPUTED_VALUE"""),"Introduction to Psychology / Psychology-1                Mridula")</f>
        <v>Introduction to Psychology / Psychology-1                Mridula</v>
      </c>
      <c r="J45" s="3" t="str">
        <f>IFERROR(__xludf.DUMMYFUNCTION("""COMPUTED_VALUE"""),"Law of Evidence                     Jaisy George")</f>
        <v>Law of Evidence                     Jaisy George</v>
      </c>
      <c r="K45" s="3" t="str">
        <f>IFERROR(__xludf.DUMMYFUNCTION("""COMPUTED_VALUE"""),"Constitutional Law - 1    Sarath Mohan")</f>
        <v>Constitutional Law - 1    Sarath Mohan</v>
      </c>
      <c r="L45" s="3" t="str">
        <f>IFERROR(__xludf.DUMMYFUNCTION("""COMPUTED_VALUE"""),"Competition Law - Nasma Sultana")</f>
        <v>Competition Law - Nasma Sultana</v>
      </c>
      <c r="M45" s="3" t="str">
        <f>IFERROR(__xludf.DUMMYFUNCTION("""COMPUTED_VALUE"""),"Professional Ethics and Professional Accounting  (Payal Bhattacharjee)")</f>
        <v>Professional Ethics and Professional Accounting  (Payal Bhattacharjee)</v>
      </c>
      <c r="N45" s="3" t="str">
        <f>IFERROR(__xludf.DUMMYFUNCTION("""COMPUTED_VALUE"""),"Introduction to Ecology    Dr. Vigneshwaran")</f>
        <v>Introduction to Ecology    Dr. Vigneshwaran</v>
      </c>
      <c r="O45" s="3"/>
      <c r="P45" s="3" t="str">
        <f>IFERROR(__xludf.DUMMYFUNCTION("""COMPUTED_VALUE"""),"Introduction to Philosophy                  Siddharth")</f>
        <v>Introduction to Philosophy                  Siddharth</v>
      </c>
      <c r="Q45" s="3"/>
      <c r="R45" s="3" t="str">
        <f>IFERROR(__xludf.DUMMYFUNCTION("""COMPUTED_VALUE"""),"Discrete Mathematics &amp; Set Theory                             ArunKumar")</f>
        <v>Discrete Mathematics &amp; Set Theory                             ArunKumar</v>
      </c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 t="str">
        <f>IFERROR(__xludf.DUMMYFUNCTION("""COMPUTED_VALUE"""),"AB2  -  101")</f>
        <v>AB2  -  101</v>
      </c>
      <c r="D46" s="3" t="str">
        <f>IFERROR(__xludf.DUMMYFUNCTION("""COMPUTED_VALUE"""),"AB2  -  203")</f>
        <v>AB2  -  203</v>
      </c>
      <c r="E46" s="3" t="str">
        <f>IFERROR(__xludf.DUMMYFUNCTION("""COMPUTED_VALUE"""),"AB2 - 202")</f>
        <v>AB2 - 202</v>
      </c>
      <c r="F46" s="3" t="str">
        <f>IFERROR(__xludf.DUMMYFUNCTION("""COMPUTED_VALUE"""),"AB1 - 101")</f>
        <v>AB1 - 101</v>
      </c>
      <c r="G46" s="3" t="str">
        <f>IFERROR(__xludf.DUMMYFUNCTION("""COMPUTED_VALUE"""),"AB2  -  207")</f>
        <v>AB2  -  207</v>
      </c>
      <c r="H46" s="3" t="str">
        <f>IFERROR(__xludf.DUMMYFUNCTION("""COMPUTED_VALUE"""),"AB2 - 205")</f>
        <v>AB2 - 205</v>
      </c>
      <c r="I46" s="3" t="str">
        <f>IFERROR(__xludf.DUMMYFUNCTION("""COMPUTED_VALUE"""),"AB2 - 206")</f>
        <v>AB2 - 206</v>
      </c>
      <c r="J46" s="3" t="str">
        <f>IFERROR(__xludf.DUMMYFUNCTION("""COMPUTED_VALUE"""),"AB2  -  210")</f>
        <v>AB2  -  210</v>
      </c>
      <c r="K46" s="3" t="str">
        <f>IFERROR(__xludf.DUMMYFUNCTION("""COMPUTED_VALUE"""),"AB1 - 201")</f>
        <v>AB1 - 201</v>
      </c>
      <c r="L46" s="3" t="str">
        <f>IFERROR(__xludf.DUMMYFUNCTION("""COMPUTED_VALUE"""),"AB2 - 204")</f>
        <v>AB2 - 204</v>
      </c>
      <c r="M46" s="3" t="str">
        <f>IFERROR(__xludf.DUMMYFUNCTION("""COMPUTED_VALUE"""),"AB2 - 209")</f>
        <v>AB2 - 209</v>
      </c>
      <c r="N46" s="3" t="str">
        <f>IFERROR(__xludf.DUMMYFUNCTION("""COMPUTED_VALUE"""),"AB2 - 201")</f>
        <v>AB2 - 201</v>
      </c>
      <c r="O46" s="3" t="str">
        <f>IFERROR(__xludf.DUMMYFUNCTION("""COMPUTED_VALUE"""),"AB2 - 211")</f>
        <v>AB2 - 211</v>
      </c>
      <c r="P46" s="3" t="str">
        <f>IFERROR(__xludf.DUMMYFUNCTION("""COMPUTED_VALUE"""),"AB1 - 103")</f>
        <v>AB1 - 103</v>
      </c>
      <c r="Q46" s="3"/>
      <c r="R46" s="3" t="str">
        <f>IFERROR(__xludf.DUMMYFUNCTION("""COMPUTED_VALUE"""),"AB1 - 104")</f>
        <v>AB1 - 104</v>
      </c>
      <c r="S46" s="3"/>
      <c r="T46" s="3"/>
      <c r="U46" s="3"/>
      <c r="V46" s="3"/>
      <c r="W46" s="3"/>
      <c r="X46" s="3"/>
      <c r="Y46" s="3"/>
      <c r="Z46" s="3"/>
    </row>
    <row r="47">
      <c r="A47" s="3"/>
      <c r="B47" s="3" t="str">
        <f>IFERROR(__xludf.DUMMYFUNCTION("""COMPUTED_VALUE"""),"10:15 AM -  11:10 AM")</f>
        <v>10:15 AM -  11:10 AM</v>
      </c>
      <c r="C47" s="3" t="str">
        <f>IFERROR(__xludf.DUMMYFUNCTION("""COMPUTED_VALUE"""),"Design and analysis of algorithms - Sec 1 - David")</f>
        <v>Design and analysis of algorithms - Sec 1 - David</v>
      </c>
      <c r="D47" s="3" t="str">
        <f>IFERROR(__xludf.DUMMYFUNCTION("""COMPUTED_VALUE"""),"Linear Algebra - Sec 7 - Dr. Tamilarasi")</f>
        <v>Linear Algebra - Sec 7 - Dr. Tamilarasi</v>
      </c>
      <c r="E47" s="3" t="str">
        <f>IFERROR(__xludf.DUMMYFUNCTION("""COMPUTED_VALUE"""),"Foundation of Data Engineering - Sec 2 - Arjun")</f>
        <v>Foundation of Data Engineering - Sec 2 - Arjun</v>
      </c>
      <c r="F47" s="3" t="str">
        <f>IFERROR(__xludf.DUMMYFUNCTION("""COMPUTED_VALUE"""),"Web Technology - Sec 4 - Rupam Sah")</f>
        <v>Web Technology - Sec 4 - Rupam Sah</v>
      </c>
      <c r="G47" s="3" t="str">
        <f>IFERROR(__xludf.DUMMYFUNCTION("""COMPUTED_VALUE"""),"Computer Networks - Sem 5 - Dr. Ashok")</f>
        <v>Computer Networks - Sem 5 - Dr. Ashok</v>
      </c>
      <c r="H47" s="3" t="str">
        <f>IFERROR(__xludf.DUMMYFUNCTION("""COMPUTED_VALUE"""),"Financial Reporting and Analysis                                         Surya Krish")</f>
        <v>Financial Reporting and Analysis                                         Surya Krish</v>
      </c>
      <c r="I47" s="3" t="str">
        <f>IFERROR(__xludf.DUMMYFUNCTION("""COMPUTED_VALUE"""),"Law of Torts                (Payal)")</f>
        <v>Law of Torts                (Payal)</v>
      </c>
      <c r="J47" s="3" t="str">
        <f>IFERROR(__xludf.DUMMYFUNCTION("""COMPUTED_VALUE"""),"Operations Research        Dr. Sivan")</f>
        <v>Operations Research        Dr. Sivan</v>
      </c>
      <c r="K47" s="3" t="str">
        <f>IFERROR(__xludf.DUMMYFUNCTION("""COMPUTED_VALUE"""),"Developmental Economics  Ajit Nag")</f>
        <v>Developmental Economics  Ajit Nag</v>
      </c>
      <c r="L47" s="3" t="str">
        <f>IFERROR(__xludf.DUMMYFUNCTION("""COMPUTED_VALUE"""),"Law of Contracts 2                   ( Sanjay Bang)")</f>
        <v>Law of Contracts 2                   ( Sanjay Bang)</v>
      </c>
      <c r="M47" s="3" t="str">
        <f>IFERROR(__xludf.DUMMYFUNCTION("""COMPUTED_VALUE"""),"Cyber Laws (SL 040)    Sarath Mohan")</f>
        <v>Cyber Laws (SL 040)    Sarath Mohan</v>
      </c>
      <c r="N47" s="3" t="str">
        <f>IFERROR(__xludf.DUMMYFUNCTION("""COMPUTED_VALUE"""),"Applied Biological Sciences                                     Manobala")</f>
        <v>Applied Biological Sciences                                     Manobala</v>
      </c>
      <c r="O47" s="3"/>
      <c r="P47" s="3" t="str">
        <f>IFERROR(__xludf.DUMMYFUNCTION("""COMPUTED_VALUE"""),"Fundamentals of Business Organization  &amp; Management  Subramaniam")</f>
        <v>Fundamentals of Business Organization  &amp; Management  Subramaniam</v>
      </c>
      <c r="Q47" s="3"/>
      <c r="R47" s="3" t="str">
        <f>IFERROR(__xludf.DUMMYFUNCTION("""COMPUTED_VALUE"""),"Image Processing - Dr Aasy")</f>
        <v>Image Processing - Dr Aasy</v>
      </c>
      <c r="S47" s="3" t="str">
        <f>IFERROR(__xludf.DUMMYFUNCTION("""COMPUTED_VALUE"""),"Introduction to Cognitive Neuroscience                                Dr. Anil")</f>
        <v>Introduction to Cognitive Neuroscience                                Dr. Anil</v>
      </c>
      <c r="T47" s="3"/>
      <c r="U47" s="3"/>
      <c r="V47" s="3"/>
      <c r="W47" s="3"/>
      <c r="X47" s="3"/>
      <c r="Y47" s="3"/>
      <c r="Z47" s="3"/>
    </row>
    <row r="48">
      <c r="A48" s="3"/>
      <c r="B48" s="3"/>
      <c r="C48" s="3" t="str">
        <f>IFERROR(__xludf.DUMMYFUNCTION("""COMPUTED_VALUE"""),"AB2 -  101")</f>
        <v>AB2 -  101</v>
      </c>
      <c r="D48" s="3" t="str">
        <f>IFERROR(__xludf.DUMMYFUNCTION("""COMPUTED_VALUE"""),"AB2  -  203")</f>
        <v>AB2  -  203</v>
      </c>
      <c r="E48" s="3" t="str">
        <f>IFERROR(__xludf.DUMMYFUNCTION("""COMPUTED_VALUE"""),"AB2 - 202")</f>
        <v>AB2 - 202</v>
      </c>
      <c r="F48" s="3" t="str">
        <f>IFERROR(__xludf.DUMMYFUNCTION("""COMPUTED_VALUE"""),"AB1 - 101")</f>
        <v>AB1 - 101</v>
      </c>
      <c r="G48" s="3" t="str">
        <f>IFERROR(__xludf.DUMMYFUNCTION("""COMPUTED_VALUE"""),"AB2  -  207")</f>
        <v>AB2  -  207</v>
      </c>
      <c r="H48" s="3" t="str">
        <f>IFERROR(__xludf.DUMMYFUNCTION("""COMPUTED_VALUE"""),"AB2 - 205")</f>
        <v>AB2 - 205</v>
      </c>
      <c r="I48" s="3" t="str">
        <f>IFERROR(__xludf.DUMMYFUNCTION("""COMPUTED_VALUE"""),"AB2 - 206")</f>
        <v>AB2 - 206</v>
      </c>
      <c r="J48" s="3" t="str">
        <f>IFERROR(__xludf.DUMMYFUNCTION("""COMPUTED_VALUE"""),"AB2  -  210")</f>
        <v>AB2  -  210</v>
      </c>
      <c r="K48" s="3" t="str">
        <f>IFERROR(__xludf.DUMMYFUNCTION("""COMPUTED_VALUE"""),"AB1 - 201")</f>
        <v>AB1 - 201</v>
      </c>
      <c r="L48" s="3" t="str">
        <f>IFERROR(__xludf.DUMMYFUNCTION("""COMPUTED_VALUE"""),"AB2 - 204")</f>
        <v>AB2 - 204</v>
      </c>
      <c r="M48" s="3" t="str">
        <f>IFERROR(__xludf.DUMMYFUNCTION("""COMPUTED_VALUE"""),"AB2 - 209")</f>
        <v>AB2 - 209</v>
      </c>
      <c r="N48" s="3" t="str">
        <f>IFERROR(__xludf.DUMMYFUNCTION("""COMPUTED_VALUE"""),"AB2 - 201")</f>
        <v>AB2 - 201</v>
      </c>
      <c r="O48" s="3" t="str">
        <f>IFERROR(__xludf.DUMMYFUNCTION("""COMPUTED_VALUE"""),"AB2 - 211")</f>
        <v>AB2 - 211</v>
      </c>
      <c r="P48" s="3" t="str">
        <f>IFERROR(__xludf.DUMMYFUNCTION("""COMPUTED_VALUE"""),"AB1 - 103")</f>
        <v>AB1 - 103</v>
      </c>
      <c r="Q48" s="3"/>
      <c r="R48" s="3" t="str">
        <f>IFERROR(__xludf.DUMMYFUNCTION("""COMPUTED_VALUE"""),"AB1 - 104")</f>
        <v>AB1 - 104</v>
      </c>
      <c r="S48" s="3" t="str">
        <f>IFERROR(__xludf.DUMMYFUNCTION("""COMPUTED_VALUE"""),"AB2 - Lab")</f>
        <v>AB2 - Lab</v>
      </c>
      <c r="T48" s="3"/>
      <c r="U48" s="3"/>
      <c r="V48" s="3"/>
      <c r="W48" s="3"/>
      <c r="X48" s="3"/>
      <c r="Y48" s="3"/>
      <c r="Z48" s="3"/>
    </row>
    <row r="49">
      <c r="A49" s="3"/>
      <c r="B49" s="3" t="str">
        <f>IFERROR(__xludf.DUMMYFUNCTION("""COMPUTED_VALUE"""),"11.15 AM - 12.10 PM")</f>
        <v>11.15 AM - 12.10 PM</v>
      </c>
      <c r="C49" s="3" t="str">
        <f>IFERROR(__xludf.DUMMYFUNCTION("""COMPUTED_VALUE"""),"Design and analysis of algorithms - Sec 5 - Joydeep")</f>
        <v>Design and analysis of algorithms - Sec 5 - Joydeep</v>
      </c>
      <c r="D49" s="3" t="str">
        <f>IFERROR(__xludf.DUMMYFUNCTION("""COMPUTED_VALUE"""),"Critical Thinking (SAS/SoAI/SoB/SoT/SCDS)  (sem 1)      Megha Kapoor")</f>
        <v>Critical Thinking (SAS/SoAI/SoB/SoT/SCDS)  (sem 1)      Megha Kapoor</v>
      </c>
      <c r="E49" s="3" t="str">
        <f>IFERROR(__xludf.DUMMYFUNCTION("""COMPUTED_VALUE"""),"Foundation of Data Engineering - Sec 1 - Arjun")</f>
        <v>Foundation of Data Engineering - Sec 1 - Arjun</v>
      </c>
      <c r="F49" s="3" t="str">
        <f>IFERROR(__xludf.DUMMYFUNCTION("""COMPUTED_VALUE"""),"Web Technology - Sec 7 - Aravind")</f>
        <v>Web Technology - Sec 7 - Aravind</v>
      </c>
      <c r="G49" s="3" t="str">
        <f>IFERROR(__xludf.DUMMYFUNCTION("""COMPUTED_VALUE"""),"Cybersecurity: Fundamental Concepts and Management  - Dr. Angel")</f>
        <v>Cybersecurity: Fundamental Concepts and Management  - Dr. Angel</v>
      </c>
      <c r="H49" s="3" t="str">
        <f>IFERROR(__xludf.DUMMYFUNCTION("""COMPUTED_VALUE"""),"Software Engineering - Sem 7 - Sonar")</f>
        <v>Software Engineering - Sem 7 - Sonar</v>
      </c>
      <c r="I49" s="3" t="str">
        <f>IFERROR(__xludf.DUMMYFUNCTION("""COMPUTED_VALUE"""),"Protein &amp; Enzymes       Manobala")</f>
        <v>Protein &amp; Enzymes       Manobala</v>
      </c>
      <c r="J49" s="3" t="str">
        <f>IFERROR(__xludf.DUMMYFUNCTION("""COMPUTED_VALUE"""),"Law of Insurance -                      Sanjay Bang")</f>
        <v>Law of Insurance -                      Sanjay Bang</v>
      </c>
      <c r="K49" s="3" t="str">
        <f>IFERROR(__xludf.DUMMYFUNCTION("""COMPUTED_VALUE"""),"Psychopathology  II                     Dr. Jemima")</f>
        <v>Psychopathology  II                     Dr. Jemima</v>
      </c>
      <c r="L49" s="3" t="str">
        <f>IFERROR(__xludf.DUMMYFUNCTION("""COMPUTED_VALUE"""),"Molecular Neuroscience     Ms. Karen P Sneha")</f>
        <v>Molecular Neuroscience     Ms. Karen P Sneha</v>
      </c>
      <c r="M49" s="3" t="str">
        <f>IFERROR(__xludf.DUMMYFUNCTION("""COMPUTED_VALUE"""),"Company Law   - Anand Shrivas")</f>
        <v>Company Law   - Anand Shrivas</v>
      </c>
      <c r="N49" s="3" t="str">
        <f>IFERROR(__xludf.DUMMYFUNCTION("""COMPUTED_VALUE"""),"Neuro Development             Dr. Anil")</f>
        <v>Neuro Development             Dr. Anil</v>
      </c>
      <c r="O49" s="3" t="str">
        <f>IFERROR(__xludf.DUMMYFUNCTION("""COMPUTED_VALUE"""),"Basic Chemical Engineering                              Dr. Vigneswaran")</f>
        <v>Basic Chemical Engineering                              Dr. Vigneswaran</v>
      </c>
      <c r="P49" s="3" t="str">
        <f>IFERROR(__xludf.DUMMYFUNCTION("""COMPUTED_VALUE"""),"Fundamentals of Business Organization  &amp; Management  Subramaniam")</f>
        <v>Fundamentals of Business Organization  &amp; Management  Subramaniam</v>
      </c>
      <c r="Q49" s="3"/>
      <c r="R49" s="3" t="str">
        <f>IFERROR(__xludf.DUMMYFUNCTION("""COMPUTED_VALUE"""),"Image Processing - Dr Aasy")</f>
        <v>Image Processing - Dr Aasy</v>
      </c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 t="str">
        <f>IFERROR(__xludf.DUMMYFUNCTION("""COMPUTED_VALUE"""),"AB2  -  101")</f>
        <v>AB2  -  101</v>
      </c>
      <c r="D50" s="3" t="str">
        <f>IFERROR(__xludf.DUMMYFUNCTION("""COMPUTED_VALUE"""),"AB2  -  203")</f>
        <v>AB2  -  203</v>
      </c>
      <c r="E50" s="3" t="str">
        <f>IFERROR(__xludf.DUMMYFUNCTION("""COMPUTED_VALUE"""),"AB2 - 202")</f>
        <v>AB2 - 202</v>
      </c>
      <c r="F50" s="3" t="str">
        <f>IFERROR(__xludf.DUMMYFUNCTION("""COMPUTED_VALUE"""),"AB1 - 101")</f>
        <v>AB1 - 101</v>
      </c>
      <c r="G50" s="3" t="str">
        <f>IFERROR(__xludf.DUMMYFUNCTION("""COMPUTED_VALUE"""),"AB2  -  207")</f>
        <v>AB2  -  207</v>
      </c>
      <c r="H50" s="3" t="str">
        <f>IFERROR(__xludf.DUMMYFUNCTION("""COMPUTED_VALUE"""),"AB2 - 205")</f>
        <v>AB2 - 205</v>
      </c>
      <c r="I50" s="3" t="str">
        <f>IFERROR(__xludf.DUMMYFUNCTION("""COMPUTED_VALUE"""),"AB2 - 206")</f>
        <v>AB2 - 206</v>
      </c>
      <c r="J50" s="3" t="str">
        <f>IFERROR(__xludf.DUMMYFUNCTION("""COMPUTED_VALUE"""),"AB2  -  210")</f>
        <v>AB2  -  210</v>
      </c>
      <c r="K50" s="3" t="str">
        <f>IFERROR(__xludf.DUMMYFUNCTION("""COMPUTED_VALUE"""),"AB1 - 201")</f>
        <v>AB1 - 201</v>
      </c>
      <c r="L50" s="3" t="str">
        <f>IFERROR(__xludf.DUMMYFUNCTION("""COMPUTED_VALUE"""),"AB2 - 204")</f>
        <v>AB2 - 204</v>
      </c>
      <c r="M50" s="3" t="str">
        <f>IFERROR(__xludf.DUMMYFUNCTION("""COMPUTED_VALUE"""),"AB2 - 209")</f>
        <v>AB2 - 209</v>
      </c>
      <c r="N50" s="3" t="str">
        <f>IFERROR(__xludf.DUMMYFUNCTION("""COMPUTED_VALUE"""),"AB2 - 201")</f>
        <v>AB2 - 201</v>
      </c>
      <c r="O50" s="3" t="str">
        <f>IFERROR(__xludf.DUMMYFUNCTION("""COMPUTED_VALUE"""),"AB2 - 211")</f>
        <v>AB2 - 211</v>
      </c>
      <c r="P50" s="3" t="str">
        <f>IFERROR(__xludf.DUMMYFUNCTION("""COMPUTED_VALUE"""),"AB1 - 103")</f>
        <v>AB1 - 103</v>
      </c>
      <c r="Q50" s="3" t="str">
        <f>IFERROR(__xludf.DUMMYFUNCTION("""COMPUTED_VALUE"""),"AB1 - 102")</f>
        <v>AB1 - 102</v>
      </c>
      <c r="R50" s="3" t="str">
        <f>IFERROR(__xludf.DUMMYFUNCTION("""COMPUTED_VALUE"""),"AB1 - 104")</f>
        <v>AB1 - 104</v>
      </c>
      <c r="S50" s="3" t="str">
        <f>IFERROR(__xludf.DUMMYFUNCTION("""COMPUTED_VALUE"""),"AB2 - Lab")</f>
        <v>AB2 - Lab</v>
      </c>
      <c r="T50" s="3"/>
      <c r="U50" s="3"/>
      <c r="V50" s="3"/>
      <c r="W50" s="3"/>
      <c r="X50" s="3"/>
      <c r="Y50" s="3"/>
      <c r="Z50" s="3"/>
    </row>
    <row r="51">
      <c r="A51" s="3"/>
      <c r="B51" s="3" t="str">
        <f>IFERROR(__xludf.DUMMYFUNCTION("""COMPUTED_VALUE"""),"12:15 PM -  12:55 PM")</f>
        <v>12:15 PM -  12:55 PM</v>
      </c>
      <c r="C51" s="3" t="str">
        <f>IFERROR(__xludf.DUMMYFUNCTION("""COMPUTED_VALUE"""),"LUNCH BREAK")</f>
        <v>LUNCH BREAK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 t="str">
        <f>IFERROR(__xludf.DUMMYFUNCTION("""COMPUTED_VALUE"""),"12.15 PM - 01.10 PM")</f>
        <v>12.15 PM - 01.10 PM</v>
      </c>
      <c r="C53" s="3"/>
      <c r="D53" s="3"/>
      <c r="E53" s="3" t="str">
        <f>IFERROR(__xludf.DUMMYFUNCTION("""COMPUTED_VALUE"""),"Linear Algebra - Sec 3 - Dr. Tamilarasi")</f>
        <v>Linear Algebra - Sec 3 - Dr. Tamilarasi</v>
      </c>
      <c r="F53" s="3" t="str">
        <f>IFERROR(__xludf.DUMMYFUNCTION("""COMPUTED_VALUE"""),"Web Technology - Sec 7 - Aravind")</f>
        <v>Web Technology - Sec 7 - Aravind</v>
      </c>
      <c r="G53" s="3"/>
      <c r="H53" s="3" t="str">
        <f>IFERROR(__xludf.DUMMYFUNCTION("""COMPUTED_VALUE"""),"Software Engineering - Sem 7 - Sonar")</f>
        <v>Software Engineering - Sem 7 - Sonar</v>
      </c>
      <c r="I53" s="3" t="str">
        <f>IFERROR(__xludf.DUMMYFUNCTION("""COMPUTED_VALUE"""),"Protein &amp; Enzymes       Manobala")</f>
        <v>Protein &amp; Enzymes       Manobala</v>
      </c>
      <c r="J53" s="3" t="str">
        <f>IFERROR(__xludf.DUMMYFUNCTION("""COMPUTED_VALUE"""),"Forensic Psychology                 Dr Mridula")</f>
        <v>Forensic Psychology                 Dr Mridula</v>
      </c>
      <c r="K53" s="3"/>
      <c r="L53" s="3" t="str">
        <f>IFERROR(__xludf.DUMMYFUNCTION("""COMPUTED_VALUE"""),"Psychiatry and Mood Disorders                             Dr. Anil")</f>
        <v>Psychiatry and Mood Disorders                             Dr. Anil</v>
      </c>
      <c r="M53" s="3"/>
      <c r="N53" s="3"/>
      <c r="O53" s="3"/>
      <c r="P53" s="3" t="str">
        <f>IFERROR(__xludf.DUMMYFUNCTION("""COMPUTED_VALUE"""),"Business Mathematics and Statistics                                      Surya C")</f>
        <v>Business Mathematics and Statistics                                      Surya C</v>
      </c>
      <c r="Q53" s="3"/>
      <c r="R53" s="3"/>
      <c r="S53" s="3" t="str">
        <f>IFERROR(__xludf.DUMMYFUNCTION("""COMPUTED_VALUE"""),"Introduction to Zoology    Dr. Anil / Ms. Shimantika")</f>
        <v>Introduction to Zoology    Dr. Anil / Ms. Shimantika</v>
      </c>
      <c r="T53" s="3"/>
      <c r="U53" s="3"/>
      <c r="V53" s="3"/>
      <c r="W53" s="3"/>
      <c r="X53" s="3"/>
      <c r="Y53" s="3"/>
      <c r="Z53" s="3"/>
    </row>
    <row r="54">
      <c r="A54" s="3"/>
      <c r="B54" s="3"/>
      <c r="C54" s="3" t="str">
        <f>IFERROR(__xludf.DUMMYFUNCTION("""COMPUTED_VALUE"""),"AB2 -  101")</f>
        <v>AB2 -  101</v>
      </c>
      <c r="D54" s="3" t="str">
        <f>IFERROR(__xludf.DUMMYFUNCTION("""COMPUTED_VALUE"""),"AB2  -  203")</f>
        <v>AB2  -  203</v>
      </c>
      <c r="E54" s="3" t="str">
        <f>IFERROR(__xludf.DUMMYFUNCTION("""COMPUTED_VALUE"""),"AB2 - 202")</f>
        <v>AB2 - 202</v>
      </c>
      <c r="F54" s="3" t="str">
        <f>IFERROR(__xludf.DUMMYFUNCTION("""COMPUTED_VALUE"""),"AB1 - 101")</f>
        <v>AB1 - 101</v>
      </c>
      <c r="G54" s="3" t="str">
        <f>IFERROR(__xludf.DUMMYFUNCTION("""COMPUTED_VALUE"""),"AB2  -  207")</f>
        <v>AB2  -  207</v>
      </c>
      <c r="H54" s="3" t="str">
        <f>IFERROR(__xludf.DUMMYFUNCTION("""COMPUTED_VALUE"""),"AB2 - 205")</f>
        <v>AB2 - 205</v>
      </c>
      <c r="I54" s="3" t="str">
        <f>IFERROR(__xludf.DUMMYFUNCTION("""COMPUTED_VALUE"""),"AB2 - 206")</f>
        <v>AB2 - 206</v>
      </c>
      <c r="J54" s="3" t="str">
        <f>IFERROR(__xludf.DUMMYFUNCTION("""COMPUTED_VALUE"""),"AB2  -  210")</f>
        <v>AB2  -  210</v>
      </c>
      <c r="K54" s="3" t="str">
        <f>IFERROR(__xludf.DUMMYFUNCTION("""COMPUTED_VALUE"""),"AB1 - 201")</f>
        <v>AB1 - 201</v>
      </c>
      <c r="L54" s="3" t="str">
        <f>IFERROR(__xludf.DUMMYFUNCTION("""COMPUTED_VALUE"""),"AB2 - 204")</f>
        <v>AB2 - 204</v>
      </c>
      <c r="M54" s="3" t="str">
        <f>IFERROR(__xludf.DUMMYFUNCTION("""COMPUTED_VALUE"""),"AB2 - 209")</f>
        <v>AB2 - 209</v>
      </c>
      <c r="N54" s="3" t="str">
        <f>IFERROR(__xludf.DUMMYFUNCTION("""COMPUTED_VALUE"""),"AB2 - 201")</f>
        <v>AB2 - 201</v>
      </c>
      <c r="O54" s="3" t="str">
        <f>IFERROR(__xludf.DUMMYFUNCTION("""COMPUTED_VALUE"""),"AB2 - 211")</f>
        <v>AB2 - 211</v>
      </c>
      <c r="P54" s="3" t="str">
        <f>IFERROR(__xludf.DUMMYFUNCTION("""COMPUTED_VALUE"""),"AB1 - 103")</f>
        <v>AB1 - 103</v>
      </c>
      <c r="Q54" s="3" t="str">
        <f>IFERROR(__xludf.DUMMYFUNCTION("""COMPUTED_VALUE"""),"AB1 - 102")</f>
        <v>AB1 - 102</v>
      </c>
      <c r="R54" s="3" t="str">
        <f>IFERROR(__xludf.DUMMYFUNCTION("""COMPUTED_VALUE"""),"AB1 - 104")</f>
        <v>AB1 - 104</v>
      </c>
      <c r="S54" s="3" t="str">
        <f>IFERROR(__xludf.DUMMYFUNCTION("""COMPUTED_VALUE"""),"Biotech Lab")</f>
        <v>Biotech Lab</v>
      </c>
      <c r="T54" s="3"/>
      <c r="U54" s="3"/>
      <c r="V54" s="3"/>
      <c r="W54" s="3"/>
      <c r="X54" s="3"/>
      <c r="Y54" s="3"/>
      <c r="Z54" s="3"/>
    </row>
    <row r="55">
      <c r="A55" s="3"/>
      <c r="B55" s="3" t="str">
        <f>IFERROR(__xludf.DUMMYFUNCTION("""COMPUTED_VALUE"""),"01:15 PM - 01.55 PM")</f>
        <v>01:15 PM - 01.55 PM</v>
      </c>
      <c r="C55" s="3" t="str">
        <f>IFERROR(__xludf.DUMMYFUNCTION("""COMPUTED_VALUE"""),"LUNCH BREAK")</f>
        <v>LUNCH BREAK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 t="str">
        <f>IFERROR(__xludf.DUMMYFUNCTION("""COMPUTED_VALUE"""),"01.00PM - 01.55PM")</f>
        <v>01.00PM - 01.55PM</v>
      </c>
      <c r="C57" s="3" t="str">
        <f>IFERROR(__xludf.DUMMYFUNCTION("""COMPUTED_VALUE"""),"Frontiers of AI      Sem 1                                              Dr. Pankaj Jain")</f>
        <v>Frontiers of AI      Sem 1                                              Dr. Pankaj Jain</v>
      </c>
      <c r="D57" s="3" t="str">
        <f>IFERROR(__xludf.DUMMYFUNCTION("""COMPUTED_VALUE"""),"Foundation of Data Engineering - Sec 4 - Mariya")</f>
        <v>Foundation of Data Engineering - Sec 4 - Mariya</v>
      </c>
      <c r="E57" s="3"/>
      <c r="F57" s="3" t="str">
        <f>IFERROR(__xludf.DUMMYFUNCTION("""COMPUTED_VALUE"""),"Political Science 3  - Vivek Yadav")</f>
        <v>Political Science 3  - Vivek Yadav</v>
      </c>
      <c r="G57" s="3" t="str">
        <f>IFERROR(__xludf.DUMMYFUNCTION("""COMPUTED_VALUE"""),"Web Technology - Sec 2 - Rupam Sah")</f>
        <v>Web Technology - Sec 2 - Rupam Sah</v>
      </c>
      <c r="H57" s="3" t="str">
        <f>IFERROR(__xludf.DUMMYFUNCTION("""COMPUTED_VALUE"""),"Environmental Biotechnology                             Dr. Vigneswaran")</f>
        <v>Environmental Biotechnology                             Dr. Vigneswaran</v>
      </c>
      <c r="I57" s="3" t="str">
        <f>IFERROR(__xludf.DUMMYFUNCTION("""COMPUTED_VALUE"""),"Media Law                                      Dr. Sanjeev")</f>
        <v>Media Law                                      Dr. Sanjeev</v>
      </c>
      <c r="J57" s="3" t="str">
        <f>IFERROR(__xludf.DUMMYFUNCTION("""COMPUTED_VALUE"""),"Corporate and Business Law                                Anand Shrivas")</f>
        <v>Corporate and Business Law                                Anand Shrivas</v>
      </c>
      <c r="K57" s="3" t="str">
        <f>IFERROR(__xludf.DUMMYFUNCTION("""COMPUTED_VALUE"""),"Interpretation of Statutes - Jaisy George")</f>
        <v>Interpretation of Statutes - Jaisy George</v>
      </c>
      <c r="L57" s="3" t="str">
        <f>IFERROR(__xludf.DUMMYFUNCTION("""COMPUTED_VALUE"""),"Biostatistics                      Dr. Sivan")</f>
        <v>Biostatistics                      Dr. Sivan</v>
      </c>
      <c r="M57" s="3" t="str">
        <f>IFERROR(__xludf.DUMMYFUNCTION("""COMPUTED_VALUE"""),"Developmental Psychology    Dr. Maya")</f>
        <v>Developmental Psychology    Dr. Maya</v>
      </c>
      <c r="N57" s="3" t="str">
        <f>IFERROR(__xludf.DUMMYFUNCTION("""COMPUTED_VALUE"""),"Counselling Psychology     Dr. Jemima")</f>
        <v>Counselling Psychology     Dr. Jemima</v>
      </c>
      <c r="O57" s="3" t="str">
        <f>IFERROR(__xludf.DUMMYFUNCTION("""COMPUTED_VALUE"""),"Law of Torts                (Payal)")</f>
        <v>Law of Torts                (Payal)</v>
      </c>
      <c r="P57" s="3" t="str">
        <f>IFERROR(__xludf.DUMMYFUNCTION("""COMPUTED_VALUE"""),"Ethics                             Vivek")</f>
        <v>Ethics                             Vivek</v>
      </c>
      <c r="Q57" s="3"/>
      <c r="R57" s="3" t="str">
        <f>IFERROR(__xludf.DUMMYFUNCTION("""COMPUTED_VALUE"""),"Image Processing - Dr Aasy")</f>
        <v>Image Processing - Dr Aasy</v>
      </c>
      <c r="S57" s="3" t="str">
        <f>IFERROR(__xludf.DUMMYFUNCTION("""COMPUTED_VALUE"""),"Introduction to Zoology    Dr. Anil / Ms. Shimantika")</f>
        <v>Introduction to Zoology    Dr. Anil / Ms. Shimantika</v>
      </c>
      <c r="T57" s="3"/>
      <c r="U57" s="3"/>
      <c r="V57" s="3"/>
      <c r="W57" s="3"/>
      <c r="X57" s="3"/>
      <c r="Y57" s="3"/>
      <c r="Z57" s="3"/>
    </row>
    <row r="58">
      <c r="A58" s="3"/>
      <c r="B58" s="3"/>
      <c r="C58" s="3" t="str">
        <f>IFERROR(__xludf.DUMMYFUNCTION("""COMPUTED_VALUE"""),"AB2  -  101")</f>
        <v>AB2  -  101</v>
      </c>
      <c r="D58" s="3" t="str">
        <f>IFERROR(__xludf.DUMMYFUNCTION("""COMPUTED_VALUE"""),"AB2  -  203")</f>
        <v>AB2  -  203</v>
      </c>
      <c r="E58" s="3" t="str">
        <f>IFERROR(__xludf.DUMMYFUNCTION("""COMPUTED_VALUE"""),"AB2 - 202")</f>
        <v>AB2 - 202</v>
      </c>
      <c r="F58" s="3" t="str">
        <f>IFERROR(__xludf.DUMMYFUNCTION("""COMPUTED_VALUE"""),"AB1 - 101")</f>
        <v>AB1 - 101</v>
      </c>
      <c r="G58" s="3" t="str">
        <f>IFERROR(__xludf.DUMMYFUNCTION("""COMPUTED_VALUE"""),"AB2  -  207")</f>
        <v>AB2  -  207</v>
      </c>
      <c r="H58" s="3" t="str">
        <f>IFERROR(__xludf.DUMMYFUNCTION("""COMPUTED_VALUE"""),"AB2 - 205")</f>
        <v>AB2 - 205</v>
      </c>
      <c r="I58" s="3" t="str">
        <f>IFERROR(__xludf.DUMMYFUNCTION("""COMPUTED_VALUE"""),"AB2 - 206")</f>
        <v>AB2 - 206</v>
      </c>
      <c r="J58" s="3" t="str">
        <f>IFERROR(__xludf.DUMMYFUNCTION("""COMPUTED_VALUE"""),"AB2  -  210")</f>
        <v>AB2  -  210</v>
      </c>
      <c r="K58" s="3" t="str">
        <f>IFERROR(__xludf.DUMMYFUNCTION("""COMPUTED_VALUE"""),"AB1 - 201")</f>
        <v>AB1 - 201</v>
      </c>
      <c r="L58" s="3" t="str">
        <f>IFERROR(__xludf.DUMMYFUNCTION("""COMPUTED_VALUE"""),"AB2 - 204")</f>
        <v>AB2 - 204</v>
      </c>
      <c r="M58" s="3" t="str">
        <f>IFERROR(__xludf.DUMMYFUNCTION("""COMPUTED_VALUE"""),"AB2 - 209")</f>
        <v>AB2 - 209</v>
      </c>
      <c r="N58" s="3" t="str">
        <f>IFERROR(__xludf.DUMMYFUNCTION("""COMPUTED_VALUE"""),"AB2 - 201")</f>
        <v>AB2 - 201</v>
      </c>
      <c r="O58" s="3" t="str">
        <f>IFERROR(__xludf.DUMMYFUNCTION("""COMPUTED_VALUE"""),"AB2 - 211")</f>
        <v>AB2 - 211</v>
      </c>
      <c r="P58" s="3" t="str">
        <f>IFERROR(__xludf.DUMMYFUNCTION("""COMPUTED_VALUE"""),"AB1 - 103")</f>
        <v>AB1 - 103</v>
      </c>
      <c r="Q58" s="3" t="str">
        <f>IFERROR(__xludf.DUMMYFUNCTION("""COMPUTED_VALUE"""),"AB1 - 102")</f>
        <v>AB1 - 102</v>
      </c>
      <c r="R58" s="3" t="str">
        <f>IFERROR(__xludf.DUMMYFUNCTION("""COMPUTED_VALUE"""),"AB1 - Computer Lab")</f>
        <v>AB1 - Computer Lab</v>
      </c>
      <c r="S58" s="3" t="str">
        <f>IFERROR(__xludf.DUMMYFUNCTION("""COMPUTED_VALUE"""),"Biotech Lab")</f>
        <v>Biotech Lab</v>
      </c>
      <c r="T58" s="3"/>
      <c r="U58" s="3"/>
      <c r="V58" s="3"/>
      <c r="W58" s="3"/>
      <c r="X58" s="3"/>
      <c r="Y58" s="3"/>
      <c r="Z58" s="3"/>
    </row>
    <row r="59">
      <c r="A59" s="3"/>
      <c r="B59" s="3" t="str">
        <f>IFERROR(__xludf.DUMMYFUNCTION("""COMPUTED_VALUE"""),"02.00 PM - 2.55PM")</f>
        <v>02.00 PM - 2.55PM</v>
      </c>
      <c r="C59" s="3" t="str">
        <f>IFERROR(__xludf.DUMMYFUNCTION("""COMPUTED_VALUE"""),"Web Technology - Sec 6 - Aravind")</f>
        <v>Web Technology - Sec 6 - Aravind</v>
      </c>
      <c r="D59" s="3" t="str">
        <f>IFERROR(__xludf.DUMMYFUNCTION("""COMPUTED_VALUE"""),"Foundation of Data Engineering - Sec 4 - Mariya")</f>
        <v>Foundation of Data Engineering - Sec 4 - Mariya</v>
      </c>
      <c r="E59" s="3" t="str">
        <f>IFERROR(__xludf.DUMMYFUNCTION("""COMPUTED_VALUE"""),"Design and analysis of algorithms - Sec 5 - Joydeep")</f>
        <v>Design and analysis of algorithms - Sec 5 - Joydeep</v>
      </c>
      <c r="F59" s="3" t="str">
        <f>IFERROR(__xludf.DUMMYFUNCTION("""COMPUTED_VALUE"""),"Web Technology - Sec 3 - Rupam sah")</f>
        <v>Web Technology - Sec 3 - Rupam sah</v>
      </c>
      <c r="G59" s="3" t="str">
        <f>IFERROR(__xludf.DUMMYFUNCTION("""COMPUTED_VALUE"""),"Indian Constitution &amp; Democracy - Sem1 -            Sarath Mohan")</f>
        <v>Indian Constitution &amp; Democracy - Sem1 -            Sarath Mohan</v>
      </c>
      <c r="H59" s="3"/>
      <c r="I59" s="3" t="str">
        <f>IFERROR(__xludf.DUMMYFUNCTION("""COMPUTED_VALUE"""),"Moot Court and Internship - Nasma Sultana")</f>
        <v>Moot Court and Internship - Nasma Sultana</v>
      </c>
      <c r="J59" s="3" t="str">
        <f>IFERROR(__xludf.DUMMYFUNCTION("""COMPUTED_VALUE"""),"Contitutional Law 2                     Dr. Sanjay Bang")</f>
        <v>Contitutional Law 2                     Dr. Sanjay Bang</v>
      </c>
      <c r="K59" s="3" t="str">
        <f>IFERROR(__xludf.DUMMYFUNCTION("""COMPUTED_VALUE"""),"Family Law 1                    Payal Bhattacharjee")</f>
        <v>Family Law 1                    Payal Bhattacharjee</v>
      </c>
      <c r="L59" s="3" t="str">
        <f>IFERROR(__xludf.DUMMYFUNCTION("""COMPUTED_VALUE"""),"Economics - 1")</f>
        <v>Economics - 1</v>
      </c>
      <c r="M59" s="3" t="str">
        <f>IFERROR(__xludf.DUMMYFUNCTION("""COMPUTED_VALUE"""),"Organizational Psychology - Micro Perspective                             Dr. Maya")</f>
        <v>Organizational Psychology - Micro Perspective                             Dr. Maya</v>
      </c>
      <c r="N59" s="3" t="str">
        <f>IFERROR(__xludf.DUMMYFUNCTION("""COMPUTED_VALUE"""),"Securities Law - Anand Shrivas")</f>
        <v>Securities Law - Anand Shrivas</v>
      </c>
      <c r="O59" s="3" t="str">
        <f>IFERROR(__xludf.DUMMYFUNCTION("""COMPUTED_VALUE"""),"Microbiology                     Manobala")</f>
        <v>Microbiology                     Manobala</v>
      </c>
      <c r="P59" s="3" t="str">
        <f>IFERROR(__xludf.DUMMYFUNCTION("""COMPUTED_VALUE"""),"Financial Reporting and Analysis                                   Surya C")</f>
        <v>Financial Reporting and Analysis                                   Surya C</v>
      </c>
      <c r="Q59" s="3"/>
      <c r="R59" s="3" t="str">
        <f>IFERROR(__xludf.DUMMYFUNCTION("""COMPUTED_VALUE"""),"Image Processing - Dr Aasy")</f>
        <v>Image Processing - Dr Aasy</v>
      </c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 t="str">
        <f>IFERROR(__xludf.DUMMYFUNCTION("""COMPUTED_VALUE"""),"AB2  -  101")</f>
        <v>AB2  -  101</v>
      </c>
      <c r="D60" s="3" t="str">
        <f>IFERROR(__xludf.DUMMYFUNCTION("""COMPUTED_VALUE"""),"AB2  -  203")</f>
        <v>AB2  -  203</v>
      </c>
      <c r="E60" s="3" t="str">
        <f>IFERROR(__xludf.DUMMYFUNCTION("""COMPUTED_VALUE"""),"AB2 - 202")</f>
        <v>AB2 - 202</v>
      </c>
      <c r="F60" s="3" t="str">
        <f>IFERROR(__xludf.DUMMYFUNCTION("""COMPUTED_VALUE"""),"AB1 - 101")</f>
        <v>AB1 - 101</v>
      </c>
      <c r="G60" s="3" t="str">
        <f>IFERROR(__xludf.DUMMYFUNCTION("""COMPUTED_VALUE"""),"AB2  -  207")</f>
        <v>AB2  -  207</v>
      </c>
      <c r="H60" s="3" t="str">
        <f>IFERROR(__xludf.DUMMYFUNCTION("""COMPUTED_VALUE"""),"AB2 - 205")</f>
        <v>AB2 - 205</v>
      </c>
      <c r="I60" s="3" t="str">
        <f>IFERROR(__xludf.DUMMYFUNCTION("""COMPUTED_VALUE"""),"AB2 - 206")</f>
        <v>AB2 - 206</v>
      </c>
      <c r="J60" s="3" t="str">
        <f>IFERROR(__xludf.DUMMYFUNCTION("""COMPUTED_VALUE"""),"AB2  -  210")</f>
        <v>AB2  -  210</v>
      </c>
      <c r="K60" s="3" t="str">
        <f>IFERROR(__xludf.DUMMYFUNCTION("""COMPUTED_VALUE"""),"AB1 - 201")</f>
        <v>AB1 - 201</v>
      </c>
      <c r="L60" s="3" t="str">
        <f>IFERROR(__xludf.DUMMYFUNCTION("""COMPUTED_VALUE"""),"AB2  - Faculty Conference Room")</f>
        <v>AB2  - Faculty Conference Room</v>
      </c>
      <c r="M60" s="3" t="str">
        <f>IFERROR(__xludf.DUMMYFUNCTION("""COMPUTED_VALUE"""),"AB2 - 209")</f>
        <v>AB2 - 209</v>
      </c>
      <c r="N60" s="3" t="str">
        <f>IFERROR(__xludf.DUMMYFUNCTION("""COMPUTED_VALUE"""),"AB2 - 201")</f>
        <v>AB2 - 201</v>
      </c>
      <c r="O60" s="3" t="str">
        <f>IFERROR(__xludf.DUMMYFUNCTION("""COMPUTED_VALUE"""),"AB2 - 204")</f>
        <v>AB2 - 204</v>
      </c>
      <c r="P60" s="3" t="str">
        <f>IFERROR(__xludf.DUMMYFUNCTION("""COMPUTED_VALUE"""),"AB1 - 103")</f>
        <v>AB1 - 103</v>
      </c>
      <c r="Q60" s="3" t="str">
        <f>IFERROR(__xludf.DUMMYFUNCTION("""COMPUTED_VALUE"""),"AB1 - 102")</f>
        <v>AB1 - 102</v>
      </c>
      <c r="R60" s="3" t="str">
        <f>IFERROR(__xludf.DUMMYFUNCTION("""COMPUTED_VALUE"""),"AB1 - Computer Lab")</f>
        <v>AB1 - Computer Lab</v>
      </c>
      <c r="S60" s="3" t="str">
        <f>IFERROR(__xludf.DUMMYFUNCTION("""COMPUTED_VALUE"""),"Biotech Lab")</f>
        <v>Biotech Lab</v>
      </c>
      <c r="T60" s="3"/>
      <c r="U60" s="3"/>
      <c r="V60" s="3"/>
      <c r="W60" s="3"/>
      <c r="X60" s="3"/>
      <c r="Y60" s="3"/>
      <c r="Z60" s="3"/>
    </row>
    <row r="61">
      <c r="A61" s="3"/>
      <c r="B61" s="3" t="str">
        <f>IFERROR(__xludf.DUMMYFUNCTION("""COMPUTED_VALUE"""),"03.00 PM - 03.55 PM")</f>
        <v>03.00 PM - 03.55 PM</v>
      </c>
      <c r="C61" s="3" t="str">
        <f>IFERROR(__xludf.DUMMYFUNCTION("""COMPUTED_VALUE"""),"INTT EMB - Sec 1 - Dr. Ashok")</f>
        <v>INTT EMB - Sec 1 - Dr. Ashok</v>
      </c>
      <c r="D61" s="3" t="str">
        <f>IFERROR(__xludf.DUMMYFUNCTION("""COMPUTED_VALUE"""),"Critical Thinking (SAS/SoAI/SoB/SoT/SCDS)  (sem 1)     Megha Kapoor")</f>
        <v>Critical Thinking (SAS/SoAI/SoB/SoT/SCDS)  (sem 1)     Megha Kapoor</v>
      </c>
      <c r="E61" s="3"/>
      <c r="F61" s="3"/>
      <c r="G61" s="3"/>
      <c r="H61" s="3" t="str">
        <f>IFERROR(__xludf.DUMMYFUNCTION("""COMPUTED_VALUE"""),"Property Law                    Anjana Janardhanan")</f>
        <v>Property Law                    Anjana Janardhanan</v>
      </c>
      <c r="I61" s="3" t="str">
        <f>IFERROR(__xludf.DUMMYFUNCTION("""COMPUTED_VALUE"""),"Media Law                                      Dr. Sanjeev")</f>
        <v>Media Law                                      Dr. Sanjeev</v>
      </c>
      <c r="J61" s="3" t="str">
        <f>IFERROR(__xludf.DUMMYFUNCTION("""COMPUTED_VALUE"""),"Introduction to Literature      Akshata Pai")</f>
        <v>Introduction to Literature      Akshata Pai</v>
      </c>
      <c r="K61" s="3" t="str">
        <f>IFERROR(__xludf.DUMMYFUNCTION("""COMPUTED_VALUE"""),"Constitutional Law - 1    Sarath Mohan")</f>
        <v>Constitutional Law - 1    Sarath Mohan</v>
      </c>
      <c r="L61" s="3" t="str">
        <f>IFERROR(__xludf.DUMMYFUNCTION("""COMPUTED_VALUE"""),"English - 1                     Grace")</f>
        <v>English - 1                     Grace</v>
      </c>
      <c r="M61" s="3" t="str">
        <f>IFERROR(__xludf.DUMMYFUNCTION("""COMPUTED_VALUE"""),"Operations Research                 Dr. Sivan")</f>
        <v>Operations Research                 Dr. Sivan</v>
      </c>
      <c r="N61" s="3" t="str">
        <f>IFERROR(__xludf.DUMMYFUNCTION("""COMPUTED_VALUE"""),"Neuroanatomy                         Ms. Karen")</f>
        <v>Neuroanatomy                         Ms. Karen</v>
      </c>
      <c r="O61" s="3" t="str">
        <f>IFERROR(__xludf.DUMMYFUNCTION("""COMPUTED_VALUE"""),"Principles of Financial Management                Surya")</f>
        <v>Principles of Financial Management                Surya</v>
      </c>
      <c r="P61" s="3" t="str">
        <f>IFERROR(__xludf.DUMMYFUNCTION("""COMPUTED_VALUE"""),"Ethics                             Vivek")</f>
        <v>Ethics                             Vivek</v>
      </c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 t="str">
        <f>IFERROR(__xludf.DUMMYFUNCTION("""COMPUTED_VALUE"""),"AB2  -  101")</f>
        <v>AB2  -  101</v>
      </c>
      <c r="D62" s="3" t="str">
        <f>IFERROR(__xludf.DUMMYFUNCTION("""COMPUTED_VALUE"""),"AB2  -  203")</f>
        <v>AB2  -  203</v>
      </c>
      <c r="E62" s="3" t="str">
        <f>IFERROR(__xludf.DUMMYFUNCTION("""COMPUTED_VALUE"""),"AB2 - 202")</f>
        <v>AB2 - 202</v>
      </c>
      <c r="F62" s="3" t="str">
        <f>IFERROR(__xludf.DUMMYFUNCTION("""COMPUTED_VALUE"""),"AB1 - 101")</f>
        <v>AB1 - 101</v>
      </c>
      <c r="G62" s="3" t="str">
        <f>IFERROR(__xludf.DUMMYFUNCTION("""COMPUTED_VALUE"""),"AB2  -  207")</f>
        <v>AB2  -  207</v>
      </c>
      <c r="H62" s="3" t="str">
        <f>IFERROR(__xludf.DUMMYFUNCTION("""COMPUTED_VALUE"""),"AB2 - 205")</f>
        <v>AB2 - 205</v>
      </c>
      <c r="I62" s="3" t="str">
        <f>IFERROR(__xludf.DUMMYFUNCTION("""COMPUTED_VALUE"""),"AB2 - 206")</f>
        <v>AB2 - 206</v>
      </c>
      <c r="J62" s="3" t="str">
        <f>IFERROR(__xludf.DUMMYFUNCTION("""COMPUTED_VALUE"""),"AB2  -  210")</f>
        <v>AB2  -  210</v>
      </c>
      <c r="K62" s="3" t="str">
        <f>IFERROR(__xludf.DUMMYFUNCTION("""COMPUTED_VALUE"""),"AB1 - 201")</f>
        <v>AB1 - 201</v>
      </c>
      <c r="L62" s="3" t="str">
        <f>IFERROR(__xludf.DUMMYFUNCTION("""COMPUTED_VALUE"""),"AB2 - 204")</f>
        <v>AB2 - 204</v>
      </c>
      <c r="M62" s="3" t="str">
        <f>IFERROR(__xludf.DUMMYFUNCTION("""COMPUTED_VALUE"""),"AB2 - 209")</f>
        <v>AB2 - 209</v>
      </c>
      <c r="N62" s="3" t="str">
        <f>IFERROR(__xludf.DUMMYFUNCTION("""COMPUTED_VALUE"""),"AB2 - 201")</f>
        <v>AB2 - 201</v>
      </c>
      <c r="O62" s="3" t="str">
        <f>IFERROR(__xludf.DUMMYFUNCTION("""COMPUTED_VALUE"""),"AB2 - 211")</f>
        <v>AB2 - 211</v>
      </c>
      <c r="P62" s="3" t="str">
        <f>IFERROR(__xludf.DUMMYFUNCTION("""COMPUTED_VALUE"""),"AB1 - 103")</f>
        <v>AB1 - 103</v>
      </c>
      <c r="Q62" s="3" t="str">
        <f>IFERROR(__xludf.DUMMYFUNCTION("""COMPUTED_VALUE"""),"AB1 - 102")</f>
        <v>AB1 - 102</v>
      </c>
      <c r="R62" s="3" t="str">
        <f>IFERROR(__xludf.DUMMYFUNCTION("""COMPUTED_VALUE"""),"AB1 - 104")</f>
        <v>AB1 - 104</v>
      </c>
      <c r="S62" s="3"/>
      <c r="T62" s="3"/>
      <c r="U62" s="3"/>
      <c r="V62" s="3"/>
      <c r="W62" s="3"/>
      <c r="X62" s="3"/>
      <c r="Y62" s="3"/>
      <c r="Z62" s="3"/>
    </row>
    <row r="63">
      <c r="A63" s="3"/>
      <c r="B63" s="3" t="str">
        <f>IFERROR(__xludf.DUMMYFUNCTION("""COMPUTED_VALUE"""),"04.00 PM - 04.55 PM")</f>
        <v>04.00 PM - 04.55 PM</v>
      </c>
      <c r="C63" s="3"/>
      <c r="D63" s="3" t="str">
        <f>IFERROR(__xludf.DUMMYFUNCTION("""COMPUTED_VALUE"""),"INTT EMB - Sec 1 - Dr. Ashok")</f>
        <v>INTT EMB - Sec 1 - Dr. Ashok</v>
      </c>
      <c r="E63" s="3" t="str">
        <f>IFERROR(__xludf.DUMMYFUNCTION("""COMPUTED_VALUE"""),"Indian Constitution &amp; Democracy - Sem1 -            Sarath Mohan")</f>
        <v>Indian Constitution &amp; Democracy - Sem1 -            Sarath Mohan</v>
      </c>
      <c r="F63" s="3"/>
      <c r="G63" s="3"/>
      <c r="H63" s="3" t="str">
        <f>IFERROR(__xludf.DUMMYFUNCTION("""COMPUTED_VALUE"""),"Human Rights and Duties                                 Megha Kapoor")</f>
        <v>Human Rights and Duties                                 Megha Kapoor</v>
      </c>
      <c r="I63" s="3" t="str">
        <f>IFERROR(__xludf.DUMMYFUNCTION("""COMPUTED_VALUE"""),"Labour Law 2 (    )")</f>
        <v>Labour Law 2 (    )</v>
      </c>
      <c r="J63" s="3" t="str">
        <f>IFERROR(__xludf.DUMMYFUNCTION("""COMPUTED_VALUE"""),"Introduction to Literature      Akshata Pai")</f>
        <v>Introduction to Literature      Akshata Pai</v>
      </c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 t="str">
        <f>IFERROR(__xludf.DUMMYFUNCTION("""COMPUTED_VALUE"""),"AB2  -  101")</f>
        <v>AB2  -  101</v>
      </c>
      <c r="D64" s="3" t="str">
        <f>IFERROR(__xludf.DUMMYFUNCTION("""COMPUTED_VALUE"""),"AB2  -  203")</f>
        <v>AB2  -  203</v>
      </c>
      <c r="E64" s="3" t="str">
        <f>IFERROR(__xludf.DUMMYFUNCTION("""COMPUTED_VALUE"""),"AB2 - 202")</f>
        <v>AB2 - 202</v>
      </c>
      <c r="F64" s="3" t="str">
        <f>IFERROR(__xludf.DUMMYFUNCTION("""COMPUTED_VALUE"""),"AB1 - 101")</f>
        <v>AB1 - 101</v>
      </c>
      <c r="G64" s="3" t="str">
        <f>IFERROR(__xludf.DUMMYFUNCTION("""COMPUTED_VALUE"""),"AB2  -  207")</f>
        <v>AB2  -  207</v>
      </c>
      <c r="H64" s="3" t="str">
        <f>IFERROR(__xludf.DUMMYFUNCTION("""COMPUTED_VALUE"""),"AB2 - 205")</f>
        <v>AB2 - 205</v>
      </c>
      <c r="I64" s="3" t="str">
        <f>IFERROR(__xludf.DUMMYFUNCTION("""COMPUTED_VALUE"""),"AB2 - 206")</f>
        <v>AB2 - 206</v>
      </c>
      <c r="J64" s="3" t="str">
        <f>IFERROR(__xludf.DUMMYFUNCTION("""COMPUTED_VALUE"""),"AB2  -  210")</f>
        <v>AB2  -  210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tr">
        <f>IFERROR(__xludf.DUMMYFUNCTION("""COMPUTED_VALUE"""),"THURSDAY")</f>
        <v>THURSDAY</v>
      </c>
      <c r="B66" s="3" t="str">
        <f>IFERROR(__xludf.DUMMYFUNCTION("""COMPUTED_VALUE"""),"09:15 AM -  10:10 AM")</f>
        <v>09:15 AM -  10:10 AM</v>
      </c>
      <c r="C66" s="3" t="str">
        <f>IFERROR(__xludf.DUMMYFUNCTION("""COMPUTED_VALUE"""),"Linear Algebra - Sec 2 - Dr. Beaula")</f>
        <v>Linear Algebra - Sec 2 - Dr. Beaula</v>
      </c>
      <c r="D66" s="3" t="str">
        <f>IFERROR(__xludf.DUMMYFUNCTION("""COMPUTED_VALUE"""),"Foundation of Data Engineering - Sec 7 - Nitish")</f>
        <v>Foundation of Data Engineering - Sec 7 - Nitish</v>
      </c>
      <c r="E66" s="3" t="str">
        <f>IFERROR(__xludf.DUMMYFUNCTION("""COMPUTED_VALUE"""),"ET - Sec 2 - Sonar")</f>
        <v>ET - Sec 2 - Sonar</v>
      </c>
      <c r="F66" s="3" t="str">
        <f>IFERROR(__xludf.DUMMYFUNCTION("""COMPUTED_VALUE"""),"Introduction to Ecology    Dr. Vigneshwaran")</f>
        <v>Introduction to Ecology    Dr. Vigneshwaran</v>
      </c>
      <c r="G66" s="3" t="str">
        <f>IFERROR(__xludf.DUMMYFUNCTION("""COMPUTED_VALUE"""),"Computer Networks - Sem 5 - Dr. Ashok")</f>
        <v>Computer Networks - Sem 5 - Dr. Ashok</v>
      </c>
      <c r="H66" s="3" t="str">
        <f>IFERROR(__xludf.DUMMYFUNCTION("""COMPUTED_VALUE"""),"Programming in C - Sem1 - Ujjwal")</f>
        <v>Programming in C - Sem1 - Ujjwal</v>
      </c>
      <c r="I66" s="3" t="str">
        <f>IFERROR(__xludf.DUMMYFUNCTION("""COMPUTED_VALUE"""),"Biostatistics                      Dr. Sivan")</f>
        <v>Biostatistics                      Dr. Sivan</v>
      </c>
      <c r="J66" s="3" t="str">
        <f>IFERROR(__xludf.DUMMYFUNCTION("""COMPUTED_VALUE"""),"Contitutional Law 2                     Dr. Sanjay Bang")</f>
        <v>Contitutional Law 2                     Dr. Sanjay Bang</v>
      </c>
      <c r="K66" s="3" t="str">
        <f>IFERROR(__xludf.DUMMYFUNCTION("""COMPUTED_VALUE"""),"Thinking through Indian Traditions                              Ankita Kushwaha")</f>
        <v>Thinking through Indian Traditions                              Ankita Kushwaha</v>
      </c>
      <c r="L66" s="3" t="str">
        <f>IFERROR(__xludf.DUMMYFUNCTION("""COMPUTED_VALUE"""),"Competition Law - Nasma Sultana")</f>
        <v>Competition Law - Nasma Sultana</v>
      </c>
      <c r="M66" s="3" t="str">
        <f>IFERROR(__xludf.DUMMYFUNCTION("""COMPUTED_VALUE"""),"Legal Methods                     Anjana Janardhanan")</f>
        <v>Legal Methods                     Anjana Janardhanan</v>
      </c>
      <c r="N66" s="3" t="str">
        <f>IFERROR(__xludf.DUMMYFUNCTION("""COMPUTED_VALUE"""),"Psychology behind Social Media                                          Dr. Sanjeev")</f>
        <v>Psychology behind Social Media                                          Dr. Sanjeev</v>
      </c>
      <c r="O66" s="3" t="str">
        <f>IFERROR(__xludf.DUMMYFUNCTION("""COMPUTED_VALUE"""),"Psychology Lab           Mridula")</f>
        <v>Psychology Lab           Mridula</v>
      </c>
      <c r="P66" s="3" t="str">
        <f>IFERROR(__xludf.DUMMYFUNCTION("""COMPUTED_VALUE"""),"Political Science 3  - Vivek Yadav")</f>
        <v>Political Science 3  - Vivek Yadav</v>
      </c>
      <c r="Q66" s="3"/>
      <c r="R66" s="3" t="str">
        <f>IFERROR(__xludf.DUMMYFUNCTION("""COMPUTED_VALUE"""),"Differential Equations         ArunKumar")</f>
        <v>Differential Equations         ArunKumar</v>
      </c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 t="str">
        <f>IFERROR(__xludf.DUMMYFUNCTION("""COMPUTED_VALUE"""),"AB2  -  101")</f>
        <v>AB2  -  101</v>
      </c>
      <c r="D67" s="3" t="str">
        <f>IFERROR(__xludf.DUMMYFUNCTION("""COMPUTED_VALUE"""),"AB2  -  203")</f>
        <v>AB2  -  203</v>
      </c>
      <c r="E67" s="3" t="str">
        <f>IFERROR(__xludf.DUMMYFUNCTION("""COMPUTED_VALUE"""),"AB2 - 202")</f>
        <v>AB2 - 202</v>
      </c>
      <c r="F67" s="3" t="str">
        <f>IFERROR(__xludf.DUMMYFUNCTION("""COMPUTED_VALUE"""),"AB1 - 101")</f>
        <v>AB1 - 101</v>
      </c>
      <c r="G67" s="3" t="str">
        <f>IFERROR(__xludf.DUMMYFUNCTION("""COMPUTED_VALUE"""),"AB2  -  207")</f>
        <v>AB2  -  207</v>
      </c>
      <c r="H67" s="3" t="str">
        <f>IFERROR(__xludf.DUMMYFUNCTION("""COMPUTED_VALUE"""),"AB2 - 205")</f>
        <v>AB2 - 205</v>
      </c>
      <c r="I67" s="3" t="str">
        <f>IFERROR(__xludf.DUMMYFUNCTION("""COMPUTED_VALUE"""),"AB2 - 206")</f>
        <v>AB2 - 206</v>
      </c>
      <c r="J67" s="3" t="str">
        <f>IFERROR(__xludf.DUMMYFUNCTION("""COMPUTED_VALUE"""),"AB2  -  210")</f>
        <v>AB2  -  210</v>
      </c>
      <c r="K67" s="3" t="str">
        <f>IFERROR(__xludf.DUMMYFUNCTION("""COMPUTED_VALUE"""),"AB1 - 201")</f>
        <v>AB1 - 201</v>
      </c>
      <c r="L67" s="3" t="str">
        <f>IFERROR(__xludf.DUMMYFUNCTION("""COMPUTED_VALUE"""),"AB2 - 204")</f>
        <v>AB2 - 204</v>
      </c>
      <c r="M67" s="3" t="str">
        <f>IFERROR(__xludf.DUMMYFUNCTION("""COMPUTED_VALUE"""),"AB2 - 209")</f>
        <v>AB2 - 209</v>
      </c>
      <c r="N67" s="3" t="str">
        <f>IFERROR(__xludf.DUMMYFUNCTION("""COMPUTED_VALUE"""),"AB2 - 201")</f>
        <v>AB2 - 201</v>
      </c>
      <c r="O67" s="3" t="str">
        <f>IFERROR(__xludf.DUMMYFUNCTION("""COMPUTED_VALUE"""),"AB2 - 211")</f>
        <v>AB2 - 211</v>
      </c>
      <c r="P67" s="3" t="str">
        <f>IFERROR(__xludf.DUMMYFUNCTION("""COMPUTED_VALUE"""),"AB1 - 103")</f>
        <v>AB1 - 103</v>
      </c>
      <c r="Q67" s="3" t="str">
        <f>IFERROR(__xludf.DUMMYFUNCTION("""COMPUTED_VALUE"""),"AB1 - 102")</f>
        <v>AB1 - 102</v>
      </c>
      <c r="R67" s="3" t="str">
        <f>IFERROR(__xludf.DUMMYFUNCTION("""COMPUTED_VALUE"""),"AB1 - 104")</f>
        <v>AB1 - 104</v>
      </c>
      <c r="S67" s="3" t="str">
        <f>IFERROR(__xludf.DUMMYFUNCTION("""COMPUTED_VALUE"""),"Faculty Conference Room")</f>
        <v>Faculty Conference Room</v>
      </c>
      <c r="T67" s="3"/>
      <c r="U67" s="3"/>
      <c r="V67" s="3"/>
      <c r="W67" s="3"/>
      <c r="X67" s="3"/>
      <c r="Y67" s="3"/>
      <c r="Z67" s="3"/>
    </row>
    <row r="68">
      <c r="A68" s="3"/>
      <c r="B68" s="3" t="str">
        <f>IFERROR(__xludf.DUMMYFUNCTION("""COMPUTED_VALUE"""),"10:15 AM -  11:10 AM")</f>
        <v>10:15 AM -  11:10 AM</v>
      </c>
      <c r="C68" s="3" t="str">
        <f>IFERROR(__xludf.DUMMYFUNCTION("""COMPUTED_VALUE"""),"Linear Algebra - Sec 2 - Dr. Beaula")</f>
        <v>Linear Algebra - Sec 2 - Dr. Beaula</v>
      </c>
      <c r="D68" s="3" t="str">
        <f>IFERROR(__xludf.DUMMYFUNCTION("""COMPUTED_VALUE"""),"Linear Algebra - Sec 7 - Dr. Tamilarasi")</f>
        <v>Linear Algebra - Sec 7 - Dr. Tamilarasi</v>
      </c>
      <c r="E68" s="3" t="str">
        <f>IFERROR(__xludf.DUMMYFUNCTION("""COMPUTED_VALUE"""),"Foundation of Data Engineering - Sec 5 - Nitish")</f>
        <v>Foundation of Data Engineering - Sec 5 - Nitish</v>
      </c>
      <c r="F68" s="3" t="str">
        <f>IFERROR(__xludf.DUMMYFUNCTION("""COMPUTED_VALUE"""),"Web Technology - Sec 3 - Rupam Sah")</f>
        <v>Web Technology - Sec 3 - Rupam Sah</v>
      </c>
      <c r="G68" s="3" t="str">
        <f>IFERROR(__xludf.DUMMYFUNCTION("""COMPUTED_VALUE"""),"COA - Sem 5 - Mariya")</f>
        <v>COA - Sem 5 - Mariya</v>
      </c>
      <c r="H68" s="3" t="str">
        <f>IFERROR(__xludf.DUMMYFUNCTION("""COMPUTED_VALUE"""),"EFA - Sem1 - Joydeep")</f>
        <v>EFA - Sem1 - Joydeep</v>
      </c>
      <c r="I68" s="3" t="str">
        <f>IFERROR(__xludf.DUMMYFUNCTION("""COMPUTED_VALUE"""),"Professional Ethics and Professional Accounting  (Payal Bhattacharjee)")</f>
        <v>Professional Ethics and Professional Accounting  (Payal Bhattacharjee)</v>
      </c>
      <c r="J68" s="3" t="str">
        <f>IFERROR(__xludf.DUMMYFUNCTION("""COMPUTED_VALUE"""),"Microbiology                  Manobala")</f>
        <v>Microbiology                  Manobala</v>
      </c>
      <c r="K68" s="3" t="str">
        <f>IFERROR(__xludf.DUMMYFUNCTION("""COMPUTED_VALUE"""),"Economics 3 / Modern Indian Economy")</f>
        <v>Economics 3 / Modern Indian Economy</v>
      </c>
      <c r="L68" s="3" t="str">
        <f>IFERROR(__xludf.DUMMYFUNCTION("""COMPUTED_VALUE"""),"Interpretation of Statutes - Jaisy George")</f>
        <v>Interpretation of Statutes - Jaisy George</v>
      </c>
      <c r="M68" s="3" t="str">
        <f>IFERROR(__xludf.DUMMYFUNCTION("""COMPUTED_VALUE"""),"Introduction to Zoology    Dr. Anil / Ms. Shimantika")</f>
        <v>Introduction to Zoology    Dr. Anil / Ms. Shimantika</v>
      </c>
      <c r="N68" s="3" t="str">
        <f>IFERROR(__xludf.DUMMYFUNCTION("""COMPUTED_VALUE"""),"Property Law                    Anjana Janardhanan")</f>
        <v>Property Law                    Anjana Janardhanan</v>
      </c>
      <c r="O68" s="3" t="str">
        <f>IFERROR(__xludf.DUMMYFUNCTION("""COMPUTED_VALUE"""),"Psychology Lab           Mridula")</f>
        <v>Psychology Lab           Mridula</v>
      </c>
      <c r="P68" s="3" t="str">
        <f>IFERROR(__xludf.DUMMYFUNCTION("""COMPUTED_VALUE"""),"Psychiatry and Mood Disorders                             Dr. Anil")</f>
        <v>Psychiatry and Mood Disorders                             Dr. Anil</v>
      </c>
      <c r="Q68" s="3"/>
      <c r="R68" s="3" t="str">
        <f>IFERROR(__xludf.DUMMYFUNCTION("""COMPUTED_VALUE"""),"Financial Reporting and Analysis                                         Surya Krish")</f>
        <v>Financial Reporting and Analysis                                         Surya Krish</v>
      </c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 t="str">
        <f>IFERROR(__xludf.DUMMYFUNCTION("""COMPUTED_VALUE"""),"AB2  -  101")</f>
        <v>AB2  -  101</v>
      </c>
      <c r="D69" s="3" t="str">
        <f>IFERROR(__xludf.DUMMYFUNCTION("""COMPUTED_VALUE"""),"AB2  -  203")</f>
        <v>AB2  -  203</v>
      </c>
      <c r="E69" s="3" t="str">
        <f>IFERROR(__xludf.DUMMYFUNCTION("""COMPUTED_VALUE"""),"AB2 - 202")</f>
        <v>AB2 - 202</v>
      </c>
      <c r="F69" s="3" t="str">
        <f>IFERROR(__xludf.DUMMYFUNCTION("""COMPUTED_VALUE"""),"AB1 - 101")</f>
        <v>AB1 - 101</v>
      </c>
      <c r="G69" s="3" t="str">
        <f>IFERROR(__xludf.DUMMYFUNCTION("""COMPUTED_VALUE"""),"AB2  -  207")</f>
        <v>AB2  -  207</v>
      </c>
      <c r="H69" s="3" t="str">
        <f>IFERROR(__xludf.DUMMYFUNCTION("""COMPUTED_VALUE"""),"AB2 - 205")</f>
        <v>AB2 - 205</v>
      </c>
      <c r="I69" s="3" t="str">
        <f>IFERROR(__xludf.DUMMYFUNCTION("""COMPUTED_VALUE"""),"AB2 - 206")</f>
        <v>AB2 - 206</v>
      </c>
      <c r="J69" s="3" t="str">
        <f>IFERROR(__xludf.DUMMYFUNCTION("""COMPUTED_VALUE"""),"AB2  -  210")</f>
        <v>AB2  -  210</v>
      </c>
      <c r="K69" s="3" t="str">
        <f>IFERROR(__xludf.DUMMYFUNCTION("""COMPUTED_VALUE"""),"AB1 - 201")</f>
        <v>AB1 - 201</v>
      </c>
      <c r="L69" s="3" t="str">
        <f>IFERROR(__xludf.DUMMYFUNCTION("""COMPUTED_VALUE"""),"AB2 - 204")</f>
        <v>AB2 - 204</v>
      </c>
      <c r="M69" s="3" t="str">
        <f>IFERROR(__xludf.DUMMYFUNCTION("""COMPUTED_VALUE"""),"AB2 - 209")</f>
        <v>AB2 - 209</v>
      </c>
      <c r="N69" s="3" t="str">
        <f>IFERROR(__xludf.DUMMYFUNCTION("""COMPUTED_VALUE"""),"AB2 - 201")</f>
        <v>AB2 - 201</v>
      </c>
      <c r="O69" s="3" t="str">
        <f>IFERROR(__xludf.DUMMYFUNCTION("""COMPUTED_VALUE"""),"AB2 - 211")</f>
        <v>AB2 - 211</v>
      </c>
      <c r="P69" s="3" t="str">
        <f>IFERROR(__xludf.DUMMYFUNCTION("""COMPUTED_VALUE"""),"AB1 - 103")</f>
        <v>AB1 - 103</v>
      </c>
      <c r="Q69" s="3" t="str">
        <f>IFERROR(__xludf.DUMMYFUNCTION("""COMPUTED_VALUE"""),"AB1 - 102")</f>
        <v>AB1 - 102</v>
      </c>
      <c r="R69" s="3" t="str">
        <f>IFERROR(__xludf.DUMMYFUNCTION("""COMPUTED_VALUE"""),"AB1 - 104")</f>
        <v>AB1 - 104</v>
      </c>
      <c r="S69" s="3" t="str">
        <f>IFERROR(__xludf.DUMMYFUNCTION("""COMPUTED_VALUE"""),"Faculty Conference Room")</f>
        <v>Faculty Conference Room</v>
      </c>
      <c r="T69" s="3"/>
      <c r="U69" s="3"/>
      <c r="V69" s="3"/>
      <c r="W69" s="3"/>
      <c r="X69" s="3"/>
      <c r="Y69" s="3"/>
      <c r="Z69" s="3"/>
    </row>
    <row r="70">
      <c r="A70" s="3"/>
      <c r="B70" s="3" t="str">
        <f>IFERROR(__xludf.DUMMYFUNCTION("""COMPUTED_VALUE"""),"11.15 AM - 12.10 PM")</f>
        <v>11.15 AM - 12.10 PM</v>
      </c>
      <c r="C70" s="3" t="str">
        <f>IFERROR(__xludf.DUMMYFUNCTION("""COMPUTED_VALUE"""),"Indian Constitution &amp; Democracy - Sem1 -            Sarath Mohan")</f>
        <v>Indian Constitution &amp; Democracy - Sem1 -            Sarath Mohan</v>
      </c>
      <c r="D70" s="3" t="str">
        <f>IFERROR(__xludf.DUMMYFUNCTION("""COMPUTED_VALUE"""),"Design and analysis of algorithms - Sec 7 - Dr.Angel")</f>
        <v>Design and analysis of algorithms - Sec 7 - Dr.Angel</v>
      </c>
      <c r="E70" s="3" t="str">
        <f>IFERROR(__xludf.DUMMYFUNCTION("""COMPUTED_VALUE"""),"Web Technology - Sec 4 - Rupam Sah")</f>
        <v>Web Technology - Sec 4 - Rupam Sah</v>
      </c>
      <c r="F70" s="3" t="str">
        <f>IFERROR(__xludf.DUMMYFUNCTION("""COMPUTED_VALUE"""),"Design and analysis of algorithms - Sec 3 - David")</f>
        <v>Design and analysis of algorithms - Sec 3 - David</v>
      </c>
      <c r="G70" s="3" t="str">
        <f>IFERROR(__xludf.DUMMYFUNCTION("""COMPUTED_VALUE"""),"DL - Sem 5 - Dr. KK")</f>
        <v>DL - Sem 5 - Dr. KK</v>
      </c>
      <c r="H70" s="3" t="str">
        <f>IFERROR(__xludf.DUMMYFUNCTION("""COMPUTED_VALUE"""),"Software Engineering - Sem 7 - Sonar")</f>
        <v>Software Engineering - Sem 7 - Sonar</v>
      </c>
      <c r="I70" s="3"/>
      <c r="J70" s="3" t="str">
        <f>IFERROR(__xludf.DUMMYFUNCTION("""COMPUTED_VALUE"""),"Operations Research        Dr. Sivan")</f>
        <v>Operations Research        Dr. Sivan</v>
      </c>
      <c r="K70" s="3" t="str">
        <f>IFERROR(__xludf.DUMMYFUNCTION("""COMPUTED_VALUE"""),"Financial Reporting and Analysis                                         Surya Krish")</f>
        <v>Financial Reporting and Analysis                                         Surya Krish</v>
      </c>
      <c r="L70" s="3" t="str">
        <f>IFERROR(__xludf.DUMMYFUNCTION("""COMPUTED_VALUE"""),"Company Law   - Anand Shrivas")</f>
        <v>Company Law   - Anand Shrivas</v>
      </c>
      <c r="M70" s="3"/>
      <c r="N70" s="3" t="str">
        <f>IFERROR(__xludf.DUMMYFUNCTION("""COMPUTED_VALUE"""),"Law of Contracts 2                   ( Sanjay Bang)")</f>
        <v>Law of Contracts 2                   ( Sanjay Bang)</v>
      </c>
      <c r="O70" s="3" t="str">
        <f>IFERROR(__xludf.DUMMYFUNCTION("""COMPUTED_VALUE"""),"Financial Reporting and Analysis                                         Surya Krish")</f>
        <v>Financial Reporting and Analysis                                         Surya Krish</v>
      </c>
      <c r="P70" s="3" t="str">
        <f>IFERROR(__xludf.DUMMYFUNCTION("""COMPUTED_VALUE"""),"Developmental Economics  Ajit Nag")</f>
        <v>Developmental Economics  Ajit Nag</v>
      </c>
      <c r="Q70" s="3"/>
      <c r="R70" s="3" t="str">
        <f>IFERROR(__xludf.DUMMYFUNCTION("""COMPUTED_VALUE"""),"Frontiers of Machine Learning   Pankaj Jain")</f>
        <v>Frontiers of Machine Learning   Pankaj Jain</v>
      </c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 t="str">
        <f>IFERROR(__xludf.DUMMYFUNCTION("""COMPUTED_VALUE"""),"AB2  -  101")</f>
        <v>AB2  -  101</v>
      </c>
      <c r="D71" s="3" t="str">
        <f>IFERROR(__xludf.DUMMYFUNCTION("""COMPUTED_VALUE"""),"AB2  -  203")</f>
        <v>AB2  -  203</v>
      </c>
      <c r="E71" s="3" t="str">
        <f>IFERROR(__xludf.DUMMYFUNCTION("""COMPUTED_VALUE"""),"AB2 - 202")</f>
        <v>AB2 - 202</v>
      </c>
      <c r="F71" s="3" t="str">
        <f>IFERROR(__xludf.DUMMYFUNCTION("""COMPUTED_VALUE"""),"AB1 - 101")</f>
        <v>AB1 - 101</v>
      </c>
      <c r="G71" s="3" t="str">
        <f>IFERROR(__xludf.DUMMYFUNCTION("""COMPUTED_VALUE"""),"AB2  -  207")</f>
        <v>AB2  -  207</v>
      </c>
      <c r="H71" s="3" t="str">
        <f>IFERROR(__xludf.DUMMYFUNCTION("""COMPUTED_VALUE"""),"AB2 - 205")</f>
        <v>AB2 - 205</v>
      </c>
      <c r="I71" s="3" t="str">
        <f>IFERROR(__xludf.DUMMYFUNCTION("""COMPUTED_VALUE"""),"AB2 - 206")</f>
        <v>AB2 - 206</v>
      </c>
      <c r="J71" s="3" t="str">
        <f>IFERROR(__xludf.DUMMYFUNCTION("""COMPUTED_VALUE"""),"AB2  -  210")</f>
        <v>AB2  -  210</v>
      </c>
      <c r="K71" s="3" t="str">
        <f>IFERROR(__xludf.DUMMYFUNCTION("""COMPUTED_VALUE"""),"AB1 - 201")</f>
        <v>AB1 - 201</v>
      </c>
      <c r="L71" s="3" t="str">
        <f>IFERROR(__xludf.DUMMYFUNCTION("""COMPUTED_VALUE"""),"AB2 - 204")</f>
        <v>AB2 - 204</v>
      </c>
      <c r="M71" s="3" t="str">
        <f>IFERROR(__xludf.DUMMYFUNCTION("""COMPUTED_VALUE"""),"AB2 - 209")</f>
        <v>AB2 - 209</v>
      </c>
      <c r="N71" s="3" t="str">
        <f>IFERROR(__xludf.DUMMYFUNCTION("""COMPUTED_VALUE"""),"AB2 - 201")</f>
        <v>AB2 - 201</v>
      </c>
      <c r="O71" s="3" t="str">
        <f>IFERROR(__xludf.DUMMYFUNCTION("""COMPUTED_VALUE"""),"AB2 - 211")</f>
        <v>AB2 - 211</v>
      </c>
      <c r="P71" s="3" t="str">
        <f>IFERROR(__xludf.DUMMYFUNCTION("""COMPUTED_VALUE"""),"AB1 - 103")</f>
        <v>AB1 - 103</v>
      </c>
      <c r="Q71" s="3" t="str">
        <f>IFERROR(__xludf.DUMMYFUNCTION("""COMPUTED_VALUE"""),"AB1 - 102")</f>
        <v>AB1 - 102</v>
      </c>
      <c r="R71" s="3" t="str">
        <f>IFERROR(__xludf.DUMMYFUNCTION("""COMPUTED_VALUE"""),"AB1 - 104")</f>
        <v>AB1 - 104</v>
      </c>
      <c r="S71" s="3"/>
      <c r="T71" s="3"/>
      <c r="U71" s="3"/>
      <c r="V71" s="3"/>
      <c r="W71" s="3"/>
      <c r="X71" s="3"/>
      <c r="Y71" s="3"/>
      <c r="Z71" s="3"/>
    </row>
    <row r="72">
      <c r="A72" s="3"/>
      <c r="B72" s="3" t="str">
        <f>IFERROR(__xludf.DUMMYFUNCTION("""COMPUTED_VALUE"""),"12:15 PM -  12:55 PM")</f>
        <v>12:15 PM -  12:55 PM</v>
      </c>
      <c r="C72" s="3" t="str">
        <f>IFERROR(__xludf.DUMMYFUNCTION("""COMPUTED_VALUE"""),"LUNCH BREAK")</f>
        <v>LUNCH BREAK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 t="str">
        <f>IFERROR(__xludf.DUMMYFUNCTION("""COMPUTED_VALUE"""),"12.15 PM - 01.10 PM")</f>
        <v>12.15 PM - 01.10 PM</v>
      </c>
      <c r="C74" s="3"/>
      <c r="D74" s="3"/>
      <c r="E74" s="3"/>
      <c r="F74" s="3"/>
      <c r="G74" s="3"/>
      <c r="H74" s="3"/>
      <c r="I74" s="3" t="str">
        <f>IFERROR(__xludf.DUMMYFUNCTION("""COMPUTED_VALUE"""),"Molecular Neuroscience     Ms. Karen P Sneha")</f>
        <v>Molecular Neuroscience     Ms. Karen P Sneha</v>
      </c>
      <c r="J74" s="3" t="str">
        <f>IFERROR(__xludf.DUMMYFUNCTION("""COMPUTED_VALUE"""),"Fundamentals of Biotechnology    Dr. Vigneshwaran")</f>
        <v>Fundamentals of Biotechnology    Dr. Vigneshwaran</v>
      </c>
      <c r="K74" s="3" t="str">
        <f>IFERROR(__xludf.DUMMYFUNCTION("""COMPUTED_VALUE"""),"Protein &amp; Enzymes       Manobala")</f>
        <v>Protein &amp; Enzymes       Manobala</v>
      </c>
      <c r="L74" s="3" t="str">
        <f>IFERROR(__xludf.DUMMYFUNCTION("""COMPUTED_VALUE"""),"Company Law   - Anand Shrivas")</f>
        <v>Company Law   - Anand Shrivas</v>
      </c>
      <c r="M74" s="3" t="str">
        <f>IFERROR(__xludf.DUMMYFUNCTION("""COMPUTED_VALUE"""),"Competition Law - Nasma Sultana")</f>
        <v>Competition Law - Nasma Sultana</v>
      </c>
      <c r="N74" s="3" t="str">
        <f>IFERROR(__xludf.DUMMYFUNCTION("""COMPUTED_VALUE"""),"Neuro Development             Dr. Anil")</f>
        <v>Neuro Development             Dr. Anil</v>
      </c>
      <c r="O74" s="3"/>
      <c r="P74" s="3"/>
      <c r="Q74" s="3"/>
      <c r="R74" s="3" t="str">
        <f>IFERROR(__xludf.DUMMYFUNCTION("""COMPUTED_VALUE"""),"Calculus and Linear Algebra           (Sem 1)      Arun Kumar")</f>
        <v>Calculus and Linear Algebra           (Sem 1)      Arun Kumar</v>
      </c>
      <c r="S74" s="3" t="str">
        <f>IFERROR(__xludf.DUMMYFUNCTION("""COMPUTED_VALUE"""),"QML - Dr. K K ")</f>
        <v>QML - Dr. K K </v>
      </c>
      <c r="T74" s="3"/>
      <c r="U74" s="3"/>
      <c r="V74" s="3"/>
      <c r="W74" s="3"/>
      <c r="X74" s="3"/>
      <c r="Y74" s="3"/>
      <c r="Z74" s="3"/>
    </row>
    <row r="75">
      <c r="A75" s="3"/>
      <c r="B75" s="3"/>
      <c r="C75" s="3" t="str">
        <f>IFERROR(__xludf.DUMMYFUNCTION("""COMPUTED_VALUE"""),"AB2  -  101")</f>
        <v>AB2  -  101</v>
      </c>
      <c r="D75" s="3" t="str">
        <f>IFERROR(__xludf.DUMMYFUNCTION("""COMPUTED_VALUE"""),"AB2  -  203")</f>
        <v>AB2  -  203</v>
      </c>
      <c r="E75" s="3" t="str">
        <f>IFERROR(__xludf.DUMMYFUNCTION("""COMPUTED_VALUE"""),"AB2 - 202")</f>
        <v>AB2 - 202</v>
      </c>
      <c r="F75" s="3" t="str">
        <f>IFERROR(__xludf.DUMMYFUNCTION("""COMPUTED_VALUE"""),"AB1 - 101")</f>
        <v>AB1 - 101</v>
      </c>
      <c r="G75" s="3" t="str">
        <f>IFERROR(__xludf.DUMMYFUNCTION("""COMPUTED_VALUE"""),"AB2  -  207")</f>
        <v>AB2  -  207</v>
      </c>
      <c r="H75" s="3" t="str">
        <f>IFERROR(__xludf.DUMMYFUNCTION("""COMPUTED_VALUE"""),"AB2 - 205")</f>
        <v>AB2 - 205</v>
      </c>
      <c r="I75" s="3" t="str">
        <f>IFERROR(__xludf.DUMMYFUNCTION("""COMPUTED_VALUE"""),"AB2 - 206")</f>
        <v>AB2 - 206</v>
      </c>
      <c r="J75" s="3" t="str">
        <f>IFERROR(__xludf.DUMMYFUNCTION("""COMPUTED_VALUE"""),"AB2  -  210")</f>
        <v>AB2  -  210</v>
      </c>
      <c r="K75" s="3" t="str">
        <f>IFERROR(__xludf.DUMMYFUNCTION("""COMPUTED_VALUE"""),"AB1 - 201")</f>
        <v>AB1 - 201</v>
      </c>
      <c r="L75" s="3" t="str">
        <f>IFERROR(__xludf.DUMMYFUNCTION("""COMPUTED_VALUE"""),"AB2 - 204")</f>
        <v>AB2 - 204</v>
      </c>
      <c r="M75" s="3" t="str">
        <f>IFERROR(__xludf.DUMMYFUNCTION("""COMPUTED_VALUE"""),"AB2 - 209")</f>
        <v>AB2 - 209</v>
      </c>
      <c r="N75" s="3" t="str">
        <f>IFERROR(__xludf.DUMMYFUNCTION("""COMPUTED_VALUE"""),"AB2 - 201")</f>
        <v>AB2 - 201</v>
      </c>
      <c r="O75" s="3" t="str">
        <f>IFERROR(__xludf.DUMMYFUNCTION("""COMPUTED_VALUE"""),"AB2 - 211")</f>
        <v>AB2 - 211</v>
      </c>
      <c r="P75" s="3" t="str">
        <f>IFERROR(__xludf.DUMMYFUNCTION("""COMPUTED_VALUE"""),"AB1 - 103")</f>
        <v>AB1 - 103</v>
      </c>
      <c r="Q75" s="3" t="str">
        <f>IFERROR(__xludf.DUMMYFUNCTION("""COMPUTED_VALUE"""),"AB1 - 102")</f>
        <v>AB1 - 102</v>
      </c>
      <c r="R75" s="3" t="str">
        <f>IFERROR(__xludf.DUMMYFUNCTION("""COMPUTED_VALUE"""),"AB1 - 104")</f>
        <v>AB1 - 104</v>
      </c>
      <c r="S75" s="3" t="str">
        <f>IFERROR(__xludf.DUMMYFUNCTION("""COMPUTED_VALUE"""),"Faculty Conference Room")</f>
        <v>Faculty Conference Room</v>
      </c>
      <c r="T75" s="3"/>
      <c r="U75" s="3"/>
      <c r="V75" s="3"/>
      <c r="W75" s="3"/>
      <c r="X75" s="3"/>
      <c r="Y75" s="3"/>
      <c r="Z75" s="3"/>
    </row>
    <row r="76">
      <c r="A76" s="3"/>
      <c r="B76" s="3" t="str">
        <f>IFERROR(__xludf.DUMMYFUNCTION("""COMPUTED_VALUE"""),"01:15 PM - 01.55 PM")</f>
        <v>01:15 PM - 01.55 PM</v>
      </c>
      <c r="C76" s="3" t="str">
        <f>IFERROR(__xludf.DUMMYFUNCTION("""COMPUTED_VALUE"""),"LUNCH BREAK")</f>
        <v>LUNCH BREAK</v>
      </c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 t="str">
        <f>IFERROR(__xludf.DUMMYFUNCTION("""COMPUTED_VALUE"""),"01.00PM - 01.55PM")</f>
        <v>01.00PM - 01.55PM</v>
      </c>
      <c r="C78" s="3" t="str">
        <f>IFERROR(__xludf.DUMMYFUNCTION("""COMPUTED_VALUE"""),"ET - Sec 3 - Aravind")</f>
        <v>ET - Sec 3 - Aravind</v>
      </c>
      <c r="D78" s="3" t="str">
        <f>IFERROR(__xludf.DUMMYFUNCTION("""COMPUTED_VALUE"""),"Foundation of Data Engineering - Sec 3 - Mariya")</f>
        <v>Foundation of Data Engineering - Sec 3 - Mariya</v>
      </c>
      <c r="E78" s="3" t="str">
        <f>IFERROR(__xludf.DUMMYFUNCTION("""COMPUTED_VALUE"""),"Design and analysis of algorithms - Sec 6 - Dr.Angel")</f>
        <v>Design and analysis of algorithms - Sec 6 - Dr.Angel</v>
      </c>
      <c r="F78" s="3"/>
      <c r="G78" s="3"/>
      <c r="H78" s="3" t="str">
        <f>IFERROR(__xludf.DUMMYFUNCTION("""COMPUTED_VALUE"""),"Software Engineering - Sem 7 - Sonar")</f>
        <v>Software Engineering - Sem 7 - Sonar</v>
      </c>
      <c r="I78" s="3"/>
      <c r="J78" s="3"/>
      <c r="K78" s="3" t="str">
        <f>IFERROR(__xludf.DUMMYFUNCTION("""COMPUTED_VALUE"""),"Neuro Development             Dr. Anil")</f>
        <v>Neuro Development             Dr. Anil</v>
      </c>
      <c r="L78" s="3" t="str">
        <f>IFERROR(__xludf.DUMMYFUNCTION("""COMPUTED_VALUE"""),"Protein &amp; Enzymes       Manobala")</f>
        <v>Protein &amp; Enzymes       Manobala</v>
      </c>
      <c r="M78" s="3"/>
      <c r="N78" s="3" t="str">
        <f>IFERROR(__xludf.DUMMYFUNCTION("""COMPUTED_VALUE"""),"Developmental Psychology    Dr. Maya")</f>
        <v>Developmental Psychology    Dr. Maya</v>
      </c>
      <c r="O78" s="3" t="str">
        <f>IFERROR(__xludf.DUMMYFUNCTION("""COMPUTED_VALUE"""),"Constitutional Law - 1    Sarath Mohan")</f>
        <v>Constitutional Law - 1    Sarath Mohan</v>
      </c>
      <c r="P78" s="3" t="str">
        <f>IFERROR(__xludf.DUMMYFUNCTION("""COMPUTED_VALUE"""),"Introduction to Research Methodology                  Meenakshi Srihari")</f>
        <v>Introduction to Research Methodology                  Meenakshi Srihari</v>
      </c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 t="str">
        <f>IFERROR(__xludf.DUMMYFUNCTION("""COMPUTED_VALUE"""),"AB2  -  101")</f>
        <v>AB2  -  101</v>
      </c>
      <c r="D79" s="3" t="str">
        <f>IFERROR(__xludf.DUMMYFUNCTION("""COMPUTED_VALUE"""),"AB2  -  203")</f>
        <v>AB2  -  203</v>
      </c>
      <c r="E79" s="3" t="str">
        <f>IFERROR(__xludf.DUMMYFUNCTION("""COMPUTED_VALUE"""),"AB2 - 202")</f>
        <v>AB2 - 202</v>
      </c>
      <c r="F79" s="3" t="str">
        <f>IFERROR(__xludf.DUMMYFUNCTION("""COMPUTED_VALUE"""),"AB1 - 101")</f>
        <v>AB1 - 101</v>
      </c>
      <c r="G79" s="3" t="str">
        <f>IFERROR(__xludf.DUMMYFUNCTION("""COMPUTED_VALUE"""),"AB2  -  207")</f>
        <v>AB2  -  207</v>
      </c>
      <c r="H79" s="3" t="str">
        <f>IFERROR(__xludf.DUMMYFUNCTION("""COMPUTED_VALUE"""),"AB2 - 205")</f>
        <v>AB2 - 205</v>
      </c>
      <c r="I79" s="3" t="str">
        <f>IFERROR(__xludf.DUMMYFUNCTION("""COMPUTED_VALUE"""),"AB2 - 206")</f>
        <v>AB2 - 206</v>
      </c>
      <c r="J79" s="3" t="str">
        <f>IFERROR(__xludf.DUMMYFUNCTION("""COMPUTED_VALUE"""),"AB2  -  210")</f>
        <v>AB2  -  210</v>
      </c>
      <c r="K79" s="3" t="str">
        <f>IFERROR(__xludf.DUMMYFUNCTION("""COMPUTED_VALUE"""),"AB1 - 201")</f>
        <v>AB1 - 201</v>
      </c>
      <c r="L79" s="3" t="str">
        <f>IFERROR(__xludf.DUMMYFUNCTION("""COMPUTED_VALUE"""),"AB2 - 204")</f>
        <v>AB2 - 204</v>
      </c>
      <c r="M79" s="3" t="str">
        <f>IFERROR(__xludf.DUMMYFUNCTION("""COMPUTED_VALUE"""),"AB2 - 209")</f>
        <v>AB2 - 209</v>
      </c>
      <c r="N79" s="3" t="str">
        <f>IFERROR(__xludf.DUMMYFUNCTION("""COMPUTED_VALUE"""),"AB2 - 201")</f>
        <v>AB2 - 201</v>
      </c>
      <c r="O79" s="3" t="str">
        <f>IFERROR(__xludf.DUMMYFUNCTION("""COMPUTED_VALUE"""),"AB2 - 211")</f>
        <v>AB2 - 211</v>
      </c>
      <c r="P79" s="3" t="str">
        <f>IFERROR(__xludf.DUMMYFUNCTION("""COMPUTED_VALUE"""),"AB1 - 103")</f>
        <v>AB1 - 103</v>
      </c>
      <c r="Q79" s="3" t="str">
        <f>IFERROR(__xludf.DUMMYFUNCTION("""COMPUTED_VALUE"""),"AB1 - 102")</f>
        <v>AB1 - 102</v>
      </c>
      <c r="R79" s="3" t="str">
        <f>IFERROR(__xludf.DUMMYFUNCTION("""COMPUTED_VALUE"""),"AB1 - 104")</f>
        <v>AB1 - 104</v>
      </c>
      <c r="S79" s="3"/>
      <c r="T79" s="3"/>
      <c r="U79" s="3"/>
      <c r="V79" s="3"/>
      <c r="W79" s="3"/>
      <c r="X79" s="3"/>
      <c r="Y79" s="3"/>
      <c r="Z79" s="3"/>
    </row>
    <row r="80">
      <c r="A80" s="3"/>
      <c r="B80" s="3" t="str">
        <f>IFERROR(__xludf.DUMMYFUNCTION("""COMPUTED_VALUE"""),"02.00 PM - 2.55PM")</f>
        <v>02.00 PM - 2.55PM</v>
      </c>
      <c r="C80" s="3" t="str">
        <f>IFERROR(__xludf.DUMMYFUNCTION("""COMPUTED_VALUE"""),"Web Technology - Sec 7 - Aravind")</f>
        <v>Web Technology - Sec 7 - Aravind</v>
      </c>
      <c r="D80" s="3" t="str">
        <f>IFERROR(__xludf.DUMMYFUNCTION("""COMPUTED_VALUE"""),"Foundation of Data Engineering - Sec 3 - Mariya")</f>
        <v>Foundation of Data Engineering - Sec 3 - Mariya</v>
      </c>
      <c r="E80" s="3" t="str">
        <f>IFERROR(__xludf.DUMMYFUNCTION("""COMPUTED_VALUE"""),"Linear Algebra - Sec 4 - Dr. Tamilarasi")</f>
        <v>Linear Algebra - Sec 4 - Dr. Tamilarasi</v>
      </c>
      <c r="F80" s="3" t="str">
        <f>IFERROR(__xludf.DUMMYFUNCTION("""COMPUTED_VALUE"""),"Design and analysis of algorithms - Sec 2 - David")</f>
        <v>Design and analysis of algorithms - Sec 2 - David</v>
      </c>
      <c r="G80" s="3" t="str">
        <f>IFERROR(__xludf.DUMMYFUNCTION("""COMPUTED_VALUE"""),"TOC - Sem 5 - Dr. Sangeetha")</f>
        <v>TOC - Sem 5 - Dr. Sangeetha</v>
      </c>
      <c r="H80" s="3"/>
      <c r="I80" s="3" t="str">
        <f>IFERROR(__xludf.DUMMYFUNCTION("""COMPUTED_VALUE"""),"Environmental Biotechnology                             Dr. Vigneswaran")</f>
        <v>Environmental Biotechnology                             Dr. Vigneswaran</v>
      </c>
      <c r="J80" s="3" t="str">
        <f>IFERROR(__xludf.DUMMYFUNCTION("""COMPUTED_VALUE"""),"Law of Insurance -                      Sanjay Bang")</f>
        <v>Law of Insurance -                      Sanjay Bang</v>
      </c>
      <c r="K80" s="3"/>
      <c r="L80" s="3" t="str">
        <f>IFERROR(__xludf.DUMMYFUNCTION("""COMPUTED_VALUE"""),"Political Science 3  - Vivek Yadav")</f>
        <v>Political Science 3  - Vivek Yadav</v>
      </c>
      <c r="M80" s="3" t="str">
        <f>IFERROR(__xludf.DUMMYFUNCTION("""COMPUTED_VALUE"""),"Economics - 1")</f>
        <v>Economics - 1</v>
      </c>
      <c r="N80" s="3"/>
      <c r="O80" s="3" t="str">
        <f>IFERROR(__xludf.DUMMYFUNCTION("""COMPUTED_VALUE"""),"Biostatistics                      Dr. Sivan")</f>
        <v>Biostatistics                      Dr. Sivan</v>
      </c>
      <c r="P80" s="3" t="str">
        <f>IFERROR(__xludf.DUMMYFUNCTION("""COMPUTED_VALUE"""),"Introduction to Philosophy                  Siddharth")</f>
        <v>Introduction to Philosophy                  Siddharth</v>
      </c>
      <c r="Q80" s="3"/>
      <c r="R80" s="3"/>
      <c r="S80" s="3" t="str">
        <f>IFERROR(__xludf.DUMMYFUNCTION("""COMPUTED_VALUE"""),"QML - Dr. K K ")</f>
        <v>QML - Dr. K K </v>
      </c>
      <c r="T80" s="3"/>
      <c r="U80" s="3"/>
      <c r="V80" s="3"/>
      <c r="W80" s="3"/>
      <c r="X80" s="3"/>
      <c r="Y80" s="3"/>
      <c r="Z80" s="3"/>
    </row>
    <row r="81">
      <c r="A81" s="3"/>
      <c r="B81" s="3"/>
      <c r="C81" s="3" t="str">
        <f>IFERROR(__xludf.DUMMYFUNCTION("""COMPUTED_VALUE"""),"AB2  -  101")</f>
        <v>AB2  -  101</v>
      </c>
      <c r="D81" s="3" t="str">
        <f>IFERROR(__xludf.DUMMYFUNCTION("""COMPUTED_VALUE"""),"AB2  -  203")</f>
        <v>AB2  -  203</v>
      </c>
      <c r="E81" s="3" t="str">
        <f>IFERROR(__xludf.DUMMYFUNCTION("""COMPUTED_VALUE"""),"AB2 - 202")</f>
        <v>AB2 - 202</v>
      </c>
      <c r="F81" s="3" t="str">
        <f>IFERROR(__xludf.DUMMYFUNCTION("""COMPUTED_VALUE"""),"AB1 - 101")</f>
        <v>AB1 - 101</v>
      </c>
      <c r="G81" s="3" t="str">
        <f>IFERROR(__xludf.DUMMYFUNCTION("""COMPUTED_VALUE"""),"AB2  -  207")</f>
        <v>AB2  -  207</v>
      </c>
      <c r="H81" s="3" t="str">
        <f>IFERROR(__xludf.DUMMYFUNCTION("""COMPUTED_VALUE"""),"AB2 - 205")</f>
        <v>AB2 - 205</v>
      </c>
      <c r="I81" s="3" t="str">
        <f>IFERROR(__xludf.DUMMYFUNCTION("""COMPUTED_VALUE"""),"AB2 - 206")</f>
        <v>AB2 - 206</v>
      </c>
      <c r="J81" s="3" t="str">
        <f>IFERROR(__xludf.DUMMYFUNCTION("""COMPUTED_VALUE"""),"AB2  -  210")</f>
        <v>AB2  -  210</v>
      </c>
      <c r="K81" s="3" t="str">
        <f>IFERROR(__xludf.DUMMYFUNCTION("""COMPUTED_VALUE"""),"AB1 - 201")</f>
        <v>AB1 - 201</v>
      </c>
      <c r="L81" s="3" t="str">
        <f>IFERROR(__xludf.DUMMYFUNCTION("""COMPUTED_VALUE"""),"AB2 - 204")</f>
        <v>AB2 - 204</v>
      </c>
      <c r="M81" s="3" t="str">
        <f>IFERROR(__xludf.DUMMYFUNCTION("""COMPUTED_VALUE"""),"AB2 - 209")</f>
        <v>AB2 - 209</v>
      </c>
      <c r="N81" s="3" t="str">
        <f>IFERROR(__xludf.DUMMYFUNCTION("""COMPUTED_VALUE"""),"AB2 - 201")</f>
        <v>AB2 - 201</v>
      </c>
      <c r="O81" s="3" t="str">
        <f>IFERROR(__xludf.DUMMYFUNCTION("""COMPUTED_VALUE"""),"AB2 - 211")</f>
        <v>AB2 - 211</v>
      </c>
      <c r="P81" s="3" t="str">
        <f>IFERROR(__xludf.DUMMYFUNCTION("""COMPUTED_VALUE"""),"AB1 - 103")</f>
        <v>AB1 - 103</v>
      </c>
      <c r="Q81" s="3" t="str">
        <f>IFERROR(__xludf.DUMMYFUNCTION("""COMPUTED_VALUE"""),"AB1 - 102")</f>
        <v>AB1 - 102</v>
      </c>
      <c r="R81" s="3" t="str">
        <f>IFERROR(__xludf.DUMMYFUNCTION("""COMPUTED_VALUE"""),"AB1 - 104")</f>
        <v>AB1 - 104</v>
      </c>
      <c r="S81" s="3" t="str">
        <f>IFERROR(__xludf.DUMMYFUNCTION("""COMPUTED_VALUE"""),"Faculty Conference Room")</f>
        <v>Faculty Conference Room</v>
      </c>
      <c r="T81" s="3"/>
      <c r="U81" s="3"/>
      <c r="V81" s="3"/>
      <c r="W81" s="3"/>
      <c r="X81" s="3"/>
      <c r="Y81" s="3"/>
      <c r="Z81" s="3"/>
    </row>
    <row r="82">
      <c r="A82" s="3"/>
      <c r="B82" s="3" t="str">
        <f>IFERROR(__xludf.DUMMYFUNCTION("""COMPUTED_VALUE"""),"03.00 PM - 03.55 PM")</f>
        <v>03.00 PM - 03.55 PM</v>
      </c>
      <c r="C82" s="3" t="str">
        <f>IFERROR(__xludf.DUMMYFUNCTION("""COMPUTED_VALUE"""),"Web Technology - Sec 7 - Aravind")</f>
        <v>Web Technology - Sec 7 - Aravind</v>
      </c>
      <c r="D82" s="3" t="str">
        <f>IFERROR(__xludf.DUMMYFUNCTION("""COMPUTED_VALUE"""),"ET - Sec 1 - Arjun")</f>
        <v>ET - Sec 1 - Arjun</v>
      </c>
      <c r="E82" s="3"/>
      <c r="F82" s="3" t="str">
        <f>IFERROR(__xludf.DUMMYFUNCTION("""COMPUTED_VALUE"""),"Digital HealthCare                                            Dr. Pankaj")</f>
        <v>Digital HealthCare                                            Dr. Pankaj</v>
      </c>
      <c r="G82" s="3" t="str">
        <f>IFERROR(__xludf.DUMMYFUNCTION("""COMPUTED_VALUE"""),"TOC - Sem 5 - Dr. Sangeetha")</f>
        <v>TOC - Sem 5 - Dr. Sangeetha</v>
      </c>
      <c r="H82" s="3" t="str">
        <f>IFERROR(__xludf.DUMMYFUNCTION("""COMPUTED_VALUE"""),"Applied Mathematics - Sem1 - Dr. Beaula")</f>
        <v>Applied Mathematics - Sem1 - Dr. Beaula</v>
      </c>
      <c r="I82" s="3" t="str">
        <f>IFERROR(__xludf.DUMMYFUNCTION("""COMPUTED_VALUE"""),"Media Law                                      Dr. Sanjeev")</f>
        <v>Media Law                                      Dr. Sanjeev</v>
      </c>
      <c r="J82" s="3" t="str">
        <f>IFERROR(__xludf.DUMMYFUNCTION("""COMPUTED_VALUE"""),"Property Law                    Anjana Janardhanan")</f>
        <v>Property Law                    Anjana Janardhanan</v>
      </c>
      <c r="K82" s="3" t="str">
        <f>IFERROR(__xludf.DUMMYFUNCTION("""COMPUTED_VALUE"""),"Family Law 1                    Payal Bhattacharjee")</f>
        <v>Family Law 1                    Payal Bhattacharjee</v>
      </c>
      <c r="L82" s="3" t="str">
        <f>IFERROR(__xludf.DUMMYFUNCTION("""COMPUTED_VALUE"""),"Interpretation of Statutes - Jaisy George")</f>
        <v>Interpretation of Statutes - Jaisy George</v>
      </c>
      <c r="M82" s="3" t="str">
        <f>IFERROR(__xludf.DUMMYFUNCTION("""COMPUTED_VALUE"""),"English - 1                     Grace")</f>
        <v>English - 1                     Grace</v>
      </c>
      <c r="N82" s="3" t="str">
        <f>IFERROR(__xludf.DUMMYFUNCTION("""COMPUTED_VALUE"""),"Neuroanatomy                         Ms. Karen")</f>
        <v>Neuroanatomy                         Ms. Karen</v>
      </c>
      <c r="O82" s="3" t="str">
        <f>IFERROR(__xludf.DUMMYFUNCTION("""COMPUTED_VALUE"""),"Corporate and Business Law                                Anand Shrivas")</f>
        <v>Corporate and Business Law                                Anand Shrivas</v>
      </c>
      <c r="P82" s="3" t="str">
        <f>IFERROR(__xludf.DUMMYFUNCTION("""COMPUTED_VALUE"""),"Data Analytics with R Programming  ThairAhmad")</f>
        <v>Data Analytics with R Programming  ThairAhmad</v>
      </c>
      <c r="Q82" s="3"/>
      <c r="R82" s="3" t="str">
        <f>IFERROR(__xludf.DUMMYFUNCTION("""COMPUTED_VALUE"""),"Principles of Financial Management  /  Introduction to BFSI &amp; Financial Technology               Ajit Nag")</f>
        <v>Principles of Financial Management  /  Introduction to BFSI &amp; Financial Technology               Ajit Nag</v>
      </c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 t="str">
        <f>IFERROR(__xludf.DUMMYFUNCTION("""COMPUTED_VALUE"""),"AB2  -  101")</f>
        <v>AB2  -  101</v>
      </c>
      <c r="D83" s="3" t="str">
        <f>IFERROR(__xludf.DUMMYFUNCTION("""COMPUTED_VALUE"""),"AB2  -  203")</f>
        <v>AB2  -  203</v>
      </c>
      <c r="E83" s="3" t="str">
        <f>IFERROR(__xludf.DUMMYFUNCTION("""COMPUTED_VALUE"""),"AB2 - 202")</f>
        <v>AB2 - 202</v>
      </c>
      <c r="F83" s="3" t="str">
        <f>IFERROR(__xludf.DUMMYFUNCTION("""COMPUTED_VALUE"""),"AB1 - 101")</f>
        <v>AB1 - 101</v>
      </c>
      <c r="G83" s="3" t="str">
        <f>IFERROR(__xludf.DUMMYFUNCTION("""COMPUTED_VALUE"""),"AB2  -  207")</f>
        <v>AB2  -  207</v>
      </c>
      <c r="H83" s="3" t="str">
        <f>IFERROR(__xludf.DUMMYFUNCTION("""COMPUTED_VALUE"""),"AB2 - 205")</f>
        <v>AB2 - 205</v>
      </c>
      <c r="I83" s="3" t="str">
        <f>IFERROR(__xludf.DUMMYFUNCTION("""COMPUTED_VALUE"""),"AB2 - 206")</f>
        <v>AB2 - 206</v>
      </c>
      <c r="J83" s="3" t="str">
        <f>IFERROR(__xludf.DUMMYFUNCTION("""COMPUTED_VALUE"""),"AB2  -  210")</f>
        <v>AB2  -  210</v>
      </c>
      <c r="K83" s="3" t="str">
        <f>IFERROR(__xludf.DUMMYFUNCTION("""COMPUTED_VALUE"""),"AB1 - 201")</f>
        <v>AB1 - 201</v>
      </c>
      <c r="L83" s="3" t="str">
        <f>IFERROR(__xludf.DUMMYFUNCTION("""COMPUTED_VALUE"""),"AB2 - 204")</f>
        <v>AB2 - 204</v>
      </c>
      <c r="M83" s="3" t="str">
        <f>IFERROR(__xludf.DUMMYFUNCTION("""COMPUTED_VALUE"""),"AB2 - 209")</f>
        <v>AB2 - 209</v>
      </c>
      <c r="N83" s="3" t="str">
        <f>IFERROR(__xludf.DUMMYFUNCTION("""COMPUTED_VALUE"""),"AB2 - 201")</f>
        <v>AB2 - 201</v>
      </c>
      <c r="O83" s="3" t="str">
        <f>IFERROR(__xludf.DUMMYFUNCTION("""COMPUTED_VALUE"""),"AB2 - 211")</f>
        <v>AB2 - 211</v>
      </c>
      <c r="P83" s="3" t="str">
        <f>IFERROR(__xludf.DUMMYFUNCTION("""COMPUTED_VALUE"""),"AB1 - 103")</f>
        <v>AB1 - 103</v>
      </c>
      <c r="Q83" s="3" t="str">
        <f>IFERROR(__xludf.DUMMYFUNCTION("""COMPUTED_VALUE"""),"AB1 - 102")</f>
        <v>AB1 - 102</v>
      </c>
      <c r="R83" s="3" t="str">
        <f>IFERROR(__xludf.DUMMYFUNCTION("""COMPUTED_VALUE"""),"AB1 - 104")</f>
        <v>AB1 - 104</v>
      </c>
      <c r="S83" s="3"/>
      <c r="T83" s="3"/>
      <c r="U83" s="3"/>
      <c r="V83" s="3"/>
      <c r="W83" s="3"/>
      <c r="X83" s="3"/>
      <c r="Y83" s="3"/>
      <c r="Z83" s="3"/>
    </row>
    <row r="84">
      <c r="A84" s="3"/>
      <c r="B84" s="3" t="str">
        <f>IFERROR(__xludf.DUMMYFUNCTION("""COMPUTED_VALUE"""),"04.00 PM - 04.55 PM")</f>
        <v>04.00 PM - 04.55 PM</v>
      </c>
      <c r="C84" s="3"/>
      <c r="D84" s="3" t="str">
        <f>IFERROR(__xludf.DUMMYFUNCTION("""COMPUTED_VALUE"""),"ET - Sec 1 - Arjun")</f>
        <v>ET - Sec 1 - Arjun</v>
      </c>
      <c r="E84" s="3" t="str">
        <f>IFERROR(__xludf.DUMMYFUNCTION("""COMPUTED_VALUE"""),"Foundation of Data Engineering - Sec 6 - Nitish")</f>
        <v>Foundation of Data Engineering - Sec 6 - Nitish</v>
      </c>
      <c r="F84" s="3" t="str">
        <f>IFERROR(__xludf.DUMMYFUNCTION("""COMPUTED_VALUE"""),"Digital HealthCare                                            Dr. Pankaj")</f>
        <v>Digital HealthCare                                            Dr. Pankaj</v>
      </c>
      <c r="G84" s="3" t="str">
        <f>IFERROR(__xludf.DUMMYFUNCTION("""COMPUTED_VALUE"""),"Cybersecurity: Fundamental Concepts and Management  - Dr. Angel")</f>
        <v>Cybersecurity: Fundamental Concepts and Management  - Dr. Angel</v>
      </c>
      <c r="H84" s="3" t="str">
        <f>IFERROR(__xludf.DUMMYFUNCTION("""COMPUTED_VALUE"""),"Applied Mathematics - Sem1 - Dr. Beaula")</f>
        <v>Applied Mathematics - Sem1 - Dr. Beaula</v>
      </c>
      <c r="I84" s="3"/>
      <c r="J84" s="3" t="str">
        <f>IFERROR(__xludf.DUMMYFUNCTION("""COMPUTED_VALUE"""),"Clinical Neuroscience     Dr. Anil")</f>
        <v>Clinical Neuroscience     Dr. Anil</v>
      </c>
      <c r="K84" s="3" t="str">
        <f>IFERROR(__xludf.DUMMYFUNCTION("""COMPUTED_VALUE"""),"Legal Methods                     Anjana Janardhanan")</f>
        <v>Legal Methods                     Anjana Janardhanan</v>
      </c>
      <c r="L84" s="3" t="str">
        <f>IFERROR(__xludf.DUMMYFUNCTION("""COMPUTED_VALUE"""),"Community Psychology  Mridula")</f>
        <v>Community Psychology  Mridula</v>
      </c>
      <c r="M84" s="3" t="str">
        <f>IFERROR(__xludf.DUMMYFUNCTION("""COMPUTED_VALUE"""),"Cyber Laws (SL 040)    Sarath Mohan")</f>
        <v>Cyber Laws (SL 040)    Sarath Mohan</v>
      </c>
      <c r="N84" s="3"/>
      <c r="O84" s="3"/>
      <c r="P84" s="3" t="str">
        <f>IFERROR(__xludf.DUMMYFUNCTION("""COMPUTED_VALUE"""),"Data Analytics with R Programming  ThairAhmad")</f>
        <v>Data Analytics with R Programming  ThairAhmad</v>
      </c>
      <c r="Q84" s="3"/>
      <c r="R84" s="3" t="str">
        <f>IFERROR(__xludf.DUMMYFUNCTION("""COMPUTED_VALUE"""),"Principles of Financial Management  /  Introduction to BFSI &amp; Financial Technology               Ajit Nag")</f>
        <v>Principles of Financial Management  /  Introduction to BFSI &amp; Financial Technology               Ajit Nag</v>
      </c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 t="str">
        <f>IFERROR(__xludf.DUMMYFUNCTION("""COMPUTED_VALUE"""),"AB2  -  101")</f>
        <v>AB2  -  101</v>
      </c>
      <c r="D85" s="3" t="str">
        <f>IFERROR(__xludf.DUMMYFUNCTION("""COMPUTED_VALUE"""),"AB2  -  203")</f>
        <v>AB2  -  203</v>
      </c>
      <c r="E85" s="3" t="str">
        <f>IFERROR(__xludf.DUMMYFUNCTION("""COMPUTED_VALUE"""),"AB2 - 202")</f>
        <v>AB2 - 202</v>
      </c>
      <c r="F85" s="3" t="str">
        <f>IFERROR(__xludf.DUMMYFUNCTION("""COMPUTED_VALUE"""),"AB1 - 101")</f>
        <v>AB1 - 101</v>
      </c>
      <c r="G85" s="3" t="str">
        <f>IFERROR(__xludf.DUMMYFUNCTION("""COMPUTED_VALUE"""),"AB2  -  207")</f>
        <v>AB2  -  207</v>
      </c>
      <c r="H85" s="3" t="str">
        <f>IFERROR(__xludf.DUMMYFUNCTION("""COMPUTED_VALUE"""),"AB2 - 205")</f>
        <v>AB2 - 205</v>
      </c>
      <c r="I85" s="3" t="str">
        <f>IFERROR(__xludf.DUMMYFUNCTION("""COMPUTED_VALUE"""),"AB2 - 206")</f>
        <v>AB2 - 206</v>
      </c>
      <c r="J85" s="3" t="str">
        <f>IFERROR(__xludf.DUMMYFUNCTION("""COMPUTED_VALUE"""),"AB2  -  210")</f>
        <v>AB2  -  210</v>
      </c>
      <c r="K85" s="3" t="str">
        <f>IFERROR(__xludf.DUMMYFUNCTION("""COMPUTED_VALUE"""),"AB1 - 201")</f>
        <v>AB1 - 201</v>
      </c>
      <c r="L85" s="3" t="str">
        <f>IFERROR(__xludf.DUMMYFUNCTION("""COMPUTED_VALUE"""),"AB2 - 204")</f>
        <v>AB2 - 204</v>
      </c>
      <c r="M85" s="3" t="str">
        <f>IFERROR(__xludf.DUMMYFUNCTION("""COMPUTED_VALUE"""),"AB2 - 209")</f>
        <v>AB2 - 209</v>
      </c>
      <c r="N85" s="3" t="str">
        <f>IFERROR(__xludf.DUMMYFUNCTION("""COMPUTED_VALUE"""),"AB2 - 201")</f>
        <v>AB2 - 201</v>
      </c>
      <c r="O85" s="3" t="str">
        <f>IFERROR(__xludf.DUMMYFUNCTION("""COMPUTED_VALUE"""),"AB2 - 211")</f>
        <v>AB2 - 211</v>
      </c>
      <c r="P85" s="3" t="str">
        <f>IFERROR(__xludf.DUMMYFUNCTION("""COMPUTED_VALUE"""),"AB1 - 103")</f>
        <v>AB1 - 103</v>
      </c>
      <c r="Q85" s="3" t="str">
        <f>IFERROR(__xludf.DUMMYFUNCTION("""COMPUTED_VALUE"""),"AB1 - 102")</f>
        <v>AB1 - 102</v>
      </c>
      <c r="R85" s="3" t="str">
        <f>IFERROR(__xludf.DUMMYFUNCTION("""COMPUTED_VALUE"""),"AB1 - 104")</f>
        <v>AB1 - 104</v>
      </c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 t="str">
        <f>IFERROR(__xludf.DUMMYFUNCTION("""COMPUTED_VALUE"""),"FRIDAY")</f>
        <v>FRIDAY</v>
      </c>
      <c r="B87" s="3" t="str">
        <f>IFERROR(__xludf.DUMMYFUNCTION("""COMPUTED_VALUE"""),"09:15 AM -  10:10 AM")</f>
        <v>09:15 AM -  10:10 AM</v>
      </c>
      <c r="C87" s="3" t="str">
        <f>IFERROR(__xludf.DUMMYFUNCTION("""COMPUTED_VALUE"""),"Linear Algebra - Sec 2 - Dr. Beaula")</f>
        <v>Linear Algebra - Sec 2 - Dr. Beaula</v>
      </c>
      <c r="D87" s="3" t="str">
        <f>IFERROR(__xludf.DUMMYFUNCTION("""COMPUTED_VALUE"""),"Foundation of Data Engineering - Sec 6 - Nitish")</f>
        <v>Foundation of Data Engineering - Sec 6 - Nitish</v>
      </c>
      <c r="E87" s="3" t="str">
        <f>IFERROR(__xludf.DUMMYFUNCTION("""COMPUTED_VALUE"""),"Design and analysis of algorithms - Sec 4 - Joydeep")</f>
        <v>Design and analysis of algorithms - Sec 4 - Joydeep</v>
      </c>
      <c r="F87" s="3"/>
      <c r="G87" s="3"/>
      <c r="H87" s="3" t="str">
        <f>IFERROR(__xludf.DUMMYFUNCTION("""COMPUTED_VALUE"""),"Advance_P - Sem 7 - Ujjwal")</f>
        <v>Advance_P - Sem 7 - Ujjwal</v>
      </c>
      <c r="I87" s="3" t="str">
        <f>IFERROR(__xludf.DUMMYFUNCTION("""COMPUTED_VALUE"""),"Labour Law 2 (    )")</f>
        <v>Labour Law 2 (    )</v>
      </c>
      <c r="J87" s="3" t="str">
        <f>IFERROR(__xludf.DUMMYFUNCTION("""COMPUTED_VALUE"""),"Environmental Law")</f>
        <v>Environmental Law</v>
      </c>
      <c r="K87" s="3" t="str">
        <f>IFERROR(__xludf.DUMMYFUNCTION("""COMPUTED_VALUE"""),"Family Law 1                    Payal Bhattacharjee")</f>
        <v>Family Law 1                    Payal Bhattacharjee</v>
      </c>
      <c r="L87" s="3" t="str">
        <f>IFERROR(__xludf.DUMMYFUNCTION("""COMPUTED_VALUE"""),"Counselling Psychology     Dr. Jemima")</f>
        <v>Counselling Psychology     Dr. Jemima</v>
      </c>
      <c r="M87" s="3"/>
      <c r="N87" s="3" t="str">
        <f>IFERROR(__xludf.DUMMYFUNCTION("""COMPUTED_VALUE"""),"Introduction to Psychology / Psychology-1                Mridula")</f>
        <v>Introduction to Psychology / Psychology-1                Mridula</v>
      </c>
      <c r="O87" s="3" t="str">
        <f>IFERROR(__xludf.DUMMYFUNCTION("""COMPUTED_VALUE"""),"Fundamentals of Business Organization  &amp; Management  Subramaniam")</f>
        <v>Fundamentals of Business Organization  &amp; Management  Subramaniam</v>
      </c>
      <c r="P87" s="3" t="str">
        <f>IFERROR(__xludf.DUMMYFUNCTION("""COMPUTED_VALUE"""),"Introduction to Ecology    Dr. Vigneshwaran")</f>
        <v>Introduction to Ecology    Dr. Vigneshwaran</v>
      </c>
      <c r="Q87" s="3"/>
      <c r="R87" s="3" t="str">
        <f>IFERROR(__xludf.DUMMYFUNCTION("""COMPUTED_VALUE"""),"Human AI Interaction                     Pankaj Jain")</f>
        <v>Human AI Interaction                     Pankaj Jain</v>
      </c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 t="str">
        <f>IFERROR(__xludf.DUMMYFUNCTION("""COMPUTED_VALUE"""),"AB2 -  101")</f>
        <v>AB2 -  101</v>
      </c>
      <c r="D88" s="3" t="str">
        <f>IFERROR(__xludf.DUMMYFUNCTION("""COMPUTED_VALUE"""),"AB2  -  203")</f>
        <v>AB2  -  203</v>
      </c>
      <c r="E88" s="3" t="str">
        <f>IFERROR(__xludf.DUMMYFUNCTION("""COMPUTED_VALUE"""),"AB2 - 202")</f>
        <v>AB2 - 202</v>
      </c>
      <c r="F88" s="3" t="str">
        <f>IFERROR(__xludf.DUMMYFUNCTION("""COMPUTED_VALUE"""),"AB1 - 101")</f>
        <v>AB1 - 101</v>
      </c>
      <c r="G88" s="3" t="str">
        <f>IFERROR(__xludf.DUMMYFUNCTION("""COMPUTED_VALUE"""),"AB2  -  207")</f>
        <v>AB2  -  207</v>
      </c>
      <c r="H88" s="3" t="str">
        <f>IFERROR(__xludf.DUMMYFUNCTION("""COMPUTED_VALUE"""),"AB2 - 205")</f>
        <v>AB2 - 205</v>
      </c>
      <c r="I88" s="3" t="str">
        <f>IFERROR(__xludf.DUMMYFUNCTION("""COMPUTED_VALUE"""),"AB2 - 206")</f>
        <v>AB2 - 206</v>
      </c>
      <c r="J88" s="3" t="str">
        <f>IFERROR(__xludf.DUMMYFUNCTION("""COMPUTED_VALUE"""),"AB2  -  210")</f>
        <v>AB2  -  210</v>
      </c>
      <c r="K88" s="3" t="str">
        <f>IFERROR(__xludf.DUMMYFUNCTION("""COMPUTED_VALUE"""),"AB1 - 201")</f>
        <v>AB1 - 201</v>
      </c>
      <c r="L88" s="3" t="str">
        <f>IFERROR(__xludf.DUMMYFUNCTION("""COMPUTED_VALUE"""),"AB2 - 204")</f>
        <v>AB2 - 204</v>
      </c>
      <c r="M88" s="3" t="str">
        <f>IFERROR(__xludf.DUMMYFUNCTION("""COMPUTED_VALUE"""),"AB2 - 209")</f>
        <v>AB2 - 209</v>
      </c>
      <c r="N88" s="3" t="str">
        <f>IFERROR(__xludf.DUMMYFUNCTION("""COMPUTED_VALUE"""),"AB2 - 201")</f>
        <v>AB2 - 201</v>
      </c>
      <c r="O88" s="3" t="str">
        <f>IFERROR(__xludf.DUMMYFUNCTION("""COMPUTED_VALUE"""),"AB2 - 211")</f>
        <v>AB2 - 211</v>
      </c>
      <c r="P88" s="3" t="str">
        <f>IFERROR(__xludf.DUMMYFUNCTION("""COMPUTED_VALUE"""),"AB1 - 103")</f>
        <v>AB1 - 103</v>
      </c>
      <c r="Q88" s="3" t="str">
        <f>IFERROR(__xludf.DUMMYFUNCTION("""COMPUTED_VALUE"""),"AB1 - 102")</f>
        <v>AB1 - 102</v>
      </c>
      <c r="R88" s="3" t="str">
        <f>IFERROR(__xludf.DUMMYFUNCTION("""COMPUTED_VALUE"""),"AB1 - 104")</f>
        <v>AB1 - 104</v>
      </c>
      <c r="S88" s="3"/>
      <c r="T88" s="3"/>
      <c r="U88" s="3"/>
      <c r="V88" s="3"/>
      <c r="W88" s="3"/>
      <c r="X88" s="3"/>
      <c r="Y88" s="3"/>
      <c r="Z88" s="3"/>
    </row>
    <row r="89">
      <c r="A89" s="3"/>
      <c r="B89" s="3" t="str">
        <f>IFERROR(__xludf.DUMMYFUNCTION("""COMPUTED_VALUE"""),"10:15 AM -  11:10 AM")</f>
        <v>10:15 AM -  11:10 AM</v>
      </c>
      <c r="C89" s="3" t="str">
        <f>IFERROR(__xludf.DUMMYFUNCTION("""COMPUTED_VALUE"""),"Linear Algebra - Sec 2 - Dr. Beaula")</f>
        <v>Linear Algebra - Sec 2 - Dr. Beaula</v>
      </c>
      <c r="D89" s="3" t="str">
        <f>IFERROR(__xludf.DUMMYFUNCTION("""COMPUTED_VALUE"""),"Web Technology - Sec 6 - Aravind")</f>
        <v>Web Technology - Sec 6 - Aravind</v>
      </c>
      <c r="E89" s="3" t="str">
        <f>IFERROR(__xludf.DUMMYFUNCTION("""COMPUTED_VALUE"""),"Web Technology - Sec 3 - Rupam Sah")</f>
        <v>Web Technology - Sec 3 - Rupam Sah</v>
      </c>
      <c r="F89" s="3" t="str">
        <f>IFERROR(__xludf.DUMMYFUNCTION("""COMPUTED_VALUE"""),"Design and analysis of algorithms - Sec 1 - David")</f>
        <v>Design and analysis of algorithms - Sec 1 - David</v>
      </c>
      <c r="G89" s="3" t="str">
        <f>IFERROR(__xludf.DUMMYFUNCTION("""COMPUTED_VALUE"""),"Linear Algebra - Sec 4 - Dr. Tamilarasi")</f>
        <v>Linear Algebra - Sec 4 - Dr. Tamilarasi</v>
      </c>
      <c r="H89" s="3" t="str">
        <f>IFERROR(__xludf.DUMMYFUNCTION("""COMPUTED_VALUE"""),"TinyML - Sem 7 - Dr. Ashok")</f>
        <v>TinyML - Sem 7 - Dr. Ashok</v>
      </c>
      <c r="I89" s="3" t="str">
        <f>IFERROR(__xludf.DUMMYFUNCTION("""COMPUTED_VALUE"""),"Psychopathology I             Dr. Jemima")</f>
        <v>Psychopathology I             Dr. Jemima</v>
      </c>
      <c r="J89" s="3" t="str">
        <f>IFERROR(__xludf.DUMMYFUNCTION("""COMPUTED_VALUE"""),"Microbiology         Manobala")</f>
        <v>Microbiology         Manobala</v>
      </c>
      <c r="K89" s="3" t="str">
        <f>IFERROR(__xludf.DUMMYFUNCTION("""COMPUTED_VALUE"""),"Law of Contracts 2                   ( Sanjay Bang)")</f>
        <v>Law of Contracts 2                   ( Sanjay Bang)</v>
      </c>
      <c r="L89" s="3" t="str">
        <f>IFERROR(__xludf.DUMMYFUNCTION("""COMPUTED_VALUE"""),"Interpretation of Statutes - Jaisy George")</f>
        <v>Interpretation of Statutes - Jaisy George</v>
      </c>
      <c r="M89" s="3" t="str">
        <f>IFERROR(__xludf.DUMMYFUNCTION("""COMPUTED_VALUE"""),"Economics - 1")</f>
        <v>Economics - 1</v>
      </c>
      <c r="N89" s="3" t="str">
        <f>IFERROR(__xludf.DUMMYFUNCTION("""COMPUTED_VALUE"""),"Organizational Psychology - Micro Perspective                             Dr. Maya")</f>
        <v>Organizational Psychology - Micro Perspective                             Dr. Maya</v>
      </c>
      <c r="O89" s="3" t="str">
        <f>IFERROR(__xludf.DUMMYFUNCTION("""COMPUTED_VALUE"""),"Human Resource Management   Subramaniam")</f>
        <v>Human Resource Management   Subramaniam</v>
      </c>
      <c r="P89" s="3" t="str">
        <f>IFERROR(__xludf.DUMMYFUNCTION("""COMPUTED_VALUE"""),"Introduction to Ecology    Dr. Vigneshwaran")</f>
        <v>Introduction to Ecology    Dr. Vigneshwaran</v>
      </c>
      <c r="Q89" s="3"/>
      <c r="R89" s="3" t="str">
        <f>IFERROR(__xludf.DUMMYFUNCTION("""COMPUTED_VALUE"""),"Human AI Interaction                     Pankaj Jain")</f>
        <v>Human AI Interaction                     Pankaj Jain</v>
      </c>
      <c r="S89" s="3" t="str">
        <f>IFERROR(__xludf.DUMMYFUNCTION("""COMPUTED_VALUE"""),"Introduction to Zoology    Dr. Anil / Ms. Shimantika")</f>
        <v>Introduction to Zoology    Dr. Anil / Ms. Shimantika</v>
      </c>
      <c r="T89" s="3"/>
      <c r="U89" s="3"/>
      <c r="V89" s="3"/>
      <c r="W89" s="3"/>
      <c r="X89" s="3"/>
      <c r="Y89" s="3"/>
      <c r="Z89" s="3"/>
    </row>
    <row r="90">
      <c r="A90" s="3"/>
      <c r="B90" s="3"/>
      <c r="C90" s="3" t="str">
        <f>IFERROR(__xludf.DUMMYFUNCTION("""COMPUTED_VALUE"""),"AB2  -  101")</f>
        <v>AB2  -  101</v>
      </c>
      <c r="D90" s="3" t="str">
        <f>IFERROR(__xludf.DUMMYFUNCTION("""COMPUTED_VALUE"""),"AB2  -  203")</f>
        <v>AB2  -  203</v>
      </c>
      <c r="E90" s="3" t="str">
        <f>IFERROR(__xludf.DUMMYFUNCTION("""COMPUTED_VALUE"""),"AB2 - 202")</f>
        <v>AB2 - 202</v>
      </c>
      <c r="F90" s="3" t="str">
        <f>IFERROR(__xludf.DUMMYFUNCTION("""COMPUTED_VALUE"""),"AB1 - 101")</f>
        <v>AB1 - 101</v>
      </c>
      <c r="G90" s="3" t="str">
        <f>IFERROR(__xludf.DUMMYFUNCTION("""COMPUTED_VALUE"""),"AB2  -  207")</f>
        <v>AB2  -  207</v>
      </c>
      <c r="H90" s="3" t="str">
        <f>IFERROR(__xludf.DUMMYFUNCTION("""COMPUTED_VALUE"""),"AB2 - 205")</f>
        <v>AB2 - 205</v>
      </c>
      <c r="I90" s="3" t="str">
        <f>IFERROR(__xludf.DUMMYFUNCTION("""COMPUTED_VALUE"""),"AB2 - 206")</f>
        <v>AB2 - 206</v>
      </c>
      <c r="J90" s="3" t="str">
        <f>IFERROR(__xludf.DUMMYFUNCTION("""COMPUTED_VALUE"""),"AB2  -  210")</f>
        <v>AB2  -  210</v>
      </c>
      <c r="K90" s="3" t="str">
        <f>IFERROR(__xludf.DUMMYFUNCTION("""COMPUTED_VALUE"""),"AB1 - 201")</f>
        <v>AB1 - 201</v>
      </c>
      <c r="L90" s="3" t="str">
        <f>IFERROR(__xludf.DUMMYFUNCTION("""COMPUTED_VALUE"""),"AB2 - 204")</f>
        <v>AB2 - 204</v>
      </c>
      <c r="M90" s="3" t="str">
        <f>IFERROR(__xludf.DUMMYFUNCTION("""COMPUTED_VALUE"""),"AB2 - 209")</f>
        <v>AB2 - 209</v>
      </c>
      <c r="N90" s="3" t="str">
        <f>IFERROR(__xludf.DUMMYFUNCTION("""COMPUTED_VALUE"""),"AB2 - 201")</f>
        <v>AB2 - 201</v>
      </c>
      <c r="O90" s="3" t="str">
        <f>IFERROR(__xludf.DUMMYFUNCTION("""COMPUTED_VALUE"""),"AB2 - 211")</f>
        <v>AB2 - 211</v>
      </c>
      <c r="P90" s="3" t="str">
        <f>IFERROR(__xludf.DUMMYFUNCTION("""COMPUTED_VALUE"""),"AB1 - 103")</f>
        <v>AB1 - 103</v>
      </c>
      <c r="Q90" s="3" t="str">
        <f>IFERROR(__xludf.DUMMYFUNCTION("""COMPUTED_VALUE"""),"AB1 - 102")</f>
        <v>AB1 - 102</v>
      </c>
      <c r="R90" s="3" t="str">
        <f>IFERROR(__xludf.DUMMYFUNCTION("""COMPUTED_VALUE"""),"AB1 - 104")</f>
        <v>AB1 - 104</v>
      </c>
      <c r="S90" s="3" t="str">
        <f>IFERROR(__xludf.DUMMYFUNCTION("""COMPUTED_VALUE"""),"Biotech Lab")</f>
        <v>Biotech Lab</v>
      </c>
      <c r="T90" s="3"/>
      <c r="U90" s="3"/>
      <c r="V90" s="3"/>
      <c r="W90" s="3"/>
      <c r="X90" s="3"/>
      <c r="Y90" s="3"/>
      <c r="Z90" s="3"/>
    </row>
    <row r="91">
      <c r="A91" s="3"/>
      <c r="B91" s="3" t="str">
        <f>IFERROR(__xludf.DUMMYFUNCTION("""COMPUTED_VALUE"""),"11.15 AM - 12.10 PM")</f>
        <v>11.15 AM - 12.10 PM</v>
      </c>
      <c r="C91" s="3" t="str">
        <f>IFERROR(__xludf.DUMMYFUNCTION("""COMPUTED_VALUE"""),"Design and analysis of algorithms - Sec 2 - David")</f>
        <v>Design and analysis of algorithms - Sec 2 - David</v>
      </c>
      <c r="D91" s="3" t="str">
        <f>IFERROR(__xludf.DUMMYFUNCTION("""COMPUTED_VALUE"""),"Linear Algebra - Sec 6 - Dr. Sangeetha")</f>
        <v>Linear Algebra - Sec 6 - Dr. Sangeetha</v>
      </c>
      <c r="E91" s="3" t="str">
        <f>IFERROR(__xludf.DUMMYFUNCTION("""COMPUTED_VALUE"""),"Linear Algebra - Sec 3 - Dr. Tamilarasi")</f>
        <v>Linear Algebra - Sec 3 - Dr. Tamilarasi</v>
      </c>
      <c r="F91" s="3" t="str">
        <f>IFERROR(__xludf.DUMMYFUNCTION("""COMPUTED_VALUE"""),"Foundation of Data Engineering - Sec 1 - Arjun")</f>
        <v>Foundation of Data Engineering - Sec 1 - Arjun</v>
      </c>
      <c r="G91" s="3" t="str">
        <f>IFERROR(__xludf.DUMMYFUNCTION("""COMPUTED_VALUE"""),"COA - Sem 5 - Mariya")</f>
        <v>COA - Sem 5 - Mariya</v>
      </c>
      <c r="H91" s="3" t="str">
        <f>IFERROR(__xludf.DUMMYFUNCTION("""COMPUTED_VALUE"""),"Agentic AI  - Sem 7 - Sonar")</f>
        <v>Agentic AI  - Sem 7 - Sonar</v>
      </c>
      <c r="I91" s="3" t="str">
        <f>IFERROR(__xludf.DUMMYFUNCTION("""COMPUTED_VALUE"""),"Psychopathology I             Dr. Jemima")</f>
        <v>Psychopathology I             Dr. Jemima</v>
      </c>
      <c r="J91" s="3" t="str">
        <f>IFERROR(__xludf.DUMMYFUNCTION("""COMPUTED_VALUE"""),"Human Rights and Duties        Megha Kapoor")</f>
        <v>Human Rights and Duties        Megha Kapoor</v>
      </c>
      <c r="K91" s="3" t="str">
        <f>IFERROR(__xludf.DUMMYFUNCTION("""COMPUTED_VALUE"""),"Law of Contracts 2                   ( Sanjay Bang)")</f>
        <v>Law of Contracts 2                   ( Sanjay Bang)</v>
      </c>
      <c r="L91" s="3" t="str">
        <f>IFERROR(__xludf.DUMMYFUNCTION("""COMPUTED_VALUE"""),"English - 1                     Grace")</f>
        <v>English - 1                     Grace</v>
      </c>
      <c r="M91" s="3" t="str">
        <f>IFERROR(__xludf.DUMMYFUNCTION("""COMPUTED_VALUE"""),"Fundamentals of Biotechnology    Dr. Vigneshwaran")</f>
        <v>Fundamentals of Biotechnology    Dr. Vigneshwaran</v>
      </c>
      <c r="N91" s="3" t="str">
        <f>IFERROR(__xludf.DUMMYFUNCTION("""COMPUTED_VALUE"""),"Professional Ethics and Professional Accounting  (Payal Bhattacharjee)")</f>
        <v>Professional Ethics and Professional Accounting  (Payal Bhattacharjee)</v>
      </c>
      <c r="O91" s="3" t="str">
        <f>IFERROR(__xludf.DUMMYFUNCTION("""COMPUTED_VALUE"""),"Human Resource Management   Subramaniam")</f>
        <v>Human Resource Management   Subramaniam</v>
      </c>
      <c r="P91" s="3" t="str">
        <f>IFERROR(__xludf.DUMMYFUNCTION("""COMPUTED_VALUE"""),"Data Analytics with R Programming  ThairAhmad")</f>
        <v>Data Analytics with R Programming  ThairAhmad</v>
      </c>
      <c r="Q91" s="3"/>
      <c r="R91" s="3" t="str">
        <f>IFERROR(__xludf.DUMMYFUNCTION("""COMPUTED_VALUE"""),"Differential Equations         ArunKumar")</f>
        <v>Differential Equations         ArunKumar</v>
      </c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 t="str">
        <f>IFERROR(__xludf.DUMMYFUNCTION("""COMPUTED_VALUE"""),"AB2  -  101")</f>
        <v>AB2  -  101</v>
      </c>
      <c r="D92" s="3" t="str">
        <f>IFERROR(__xludf.DUMMYFUNCTION("""COMPUTED_VALUE"""),"AB2  -  203")</f>
        <v>AB2  -  203</v>
      </c>
      <c r="E92" s="3" t="str">
        <f>IFERROR(__xludf.DUMMYFUNCTION("""COMPUTED_VALUE"""),"AB2 - 202")</f>
        <v>AB2 - 202</v>
      </c>
      <c r="F92" s="3" t="str">
        <f>IFERROR(__xludf.DUMMYFUNCTION("""COMPUTED_VALUE"""),"AB1 - 101")</f>
        <v>AB1 - 101</v>
      </c>
      <c r="G92" s="3" t="str">
        <f>IFERROR(__xludf.DUMMYFUNCTION("""COMPUTED_VALUE"""),"AB2  -  207")</f>
        <v>AB2  -  207</v>
      </c>
      <c r="H92" s="3" t="str">
        <f>IFERROR(__xludf.DUMMYFUNCTION("""COMPUTED_VALUE"""),"AB2 - 205")</f>
        <v>AB2 - 205</v>
      </c>
      <c r="I92" s="3" t="str">
        <f>IFERROR(__xludf.DUMMYFUNCTION("""COMPUTED_VALUE"""),"AB2 - 206")</f>
        <v>AB2 - 206</v>
      </c>
      <c r="J92" s="3" t="str">
        <f>IFERROR(__xludf.DUMMYFUNCTION("""COMPUTED_VALUE"""),"AB2  -  210")</f>
        <v>AB2  -  210</v>
      </c>
      <c r="K92" s="3" t="str">
        <f>IFERROR(__xludf.DUMMYFUNCTION("""COMPUTED_VALUE"""),"AB1 - 201")</f>
        <v>AB1 - 201</v>
      </c>
      <c r="L92" s="3" t="str">
        <f>IFERROR(__xludf.DUMMYFUNCTION("""COMPUTED_VALUE"""),"AB2 - 204")</f>
        <v>AB2 - 204</v>
      </c>
      <c r="M92" s="3" t="str">
        <f>IFERROR(__xludf.DUMMYFUNCTION("""COMPUTED_VALUE"""),"AB2 - 209")</f>
        <v>AB2 - 209</v>
      </c>
      <c r="N92" s="3" t="str">
        <f>IFERROR(__xludf.DUMMYFUNCTION("""COMPUTED_VALUE"""),"AB2 - 201")</f>
        <v>AB2 - 201</v>
      </c>
      <c r="O92" s="3" t="str">
        <f>IFERROR(__xludf.DUMMYFUNCTION("""COMPUTED_VALUE"""),"AB2 - 211")</f>
        <v>AB2 - 211</v>
      </c>
      <c r="P92" s="3" t="str">
        <f>IFERROR(__xludf.DUMMYFUNCTION("""COMPUTED_VALUE"""),"AB1 - 103")</f>
        <v>AB1 - 103</v>
      </c>
      <c r="Q92" s="3" t="str">
        <f>IFERROR(__xludf.DUMMYFUNCTION("""COMPUTED_VALUE"""),"AB1 - 102")</f>
        <v>AB1 - 102</v>
      </c>
      <c r="R92" s="3" t="str">
        <f>IFERROR(__xludf.DUMMYFUNCTION("""COMPUTED_VALUE"""),"AB1 - 104")</f>
        <v>AB1 - 104</v>
      </c>
      <c r="S92" s="3"/>
      <c r="T92" s="3"/>
      <c r="U92" s="3"/>
      <c r="V92" s="3"/>
      <c r="W92" s="3"/>
      <c r="X92" s="3"/>
      <c r="Y92" s="3"/>
      <c r="Z92" s="3"/>
    </row>
    <row r="93">
      <c r="A93" s="3"/>
      <c r="B93" s="3" t="str">
        <f>IFERROR(__xludf.DUMMYFUNCTION("""COMPUTED_VALUE"""),"12:15 PM -  12:55 PM")</f>
        <v>12:15 PM -  12:55 PM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 t="str">
        <f>IFERROR(__xludf.DUMMYFUNCTION("""COMPUTED_VALUE"""),"12.15 PM - 01.10 PM")</f>
        <v>12.15 PM - 01.10 PM</v>
      </c>
      <c r="C95" s="3"/>
      <c r="D95" s="3" t="str">
        <f>IFERROR(__xludf.DUMMYFUNCTION("""COMPUTED_VALUE"""),"Design and analysis of algorithms - Sec 6 - Dr.Angel")</f>
        <v>Design and analysis of algorithms - Sec 6 - Dr.Angel</v>
      </c>
      <c r="E95" s="3" t="str">
        <f>IFERROR(__xludf.DUMMYFUNCTION("""COMPUTED_VALUE"""),"Web Technology - Sec 1 - Ujjwal")</f>
        <v>Web Technology - Sec 1 - Ujjwal</v>
      </c>
      <c r="F95" s="3"/>
      <c r="G95" s="3"/>
      <c r="H95" s="3"/>
      <c r="I95" s="3" t="str">
        <f>IFERROR(__xludf.DUMMYFUNCTION("""COMPUTED_VALUE"""),"Introduction to Research Methodology                  Meenakshi Srihari")</f>
        <v>Introduction to Research Methodology                  Meenakshi Srihari</v>
      </c>
      <c r="J95" s="3" t="str">
        <f>IFERROR(__xludf.DUMMYFUNCTION("""COMPUTED_VALUE"""),"Human Rights and Duties        Megha Kapoor")</f>
        <v>Human Rights and Duties        Megha Kapoor</v>
      </c>
      <c r="K95" s="3" t="str">
        <f>IFERROR(__xludf.DUMMYFUNCTION("""COMPUTED_VALUE"""),"Legal Methods                     Anjana Janardhanan")</f>
        <v>Legal Methods                     Anjana Janardhanan</v>
      </c>
      <c r="L95" s="3" t="str">
        <f>IFERROR(__xludf.DUMMYFUNCTION("""COMPUTED_VALUE"""),"Chemistry                                        Ms. Karen P Sneha")</f>
        <v>Chemistry                                        Ms. Karen P Sneha</v>
      </c>
      <c r="M95" s="3" t="str">
        <f>IFERROR(__xludf.DUMMYFUNCTION("""COMPUTED_VALUE"""),"Microbiology       Manobala")</f>
        <v>Microbiology       Manobala</v>
      </c>
      <c r="N95" s="3" t="str">
        <f>IFERROR(__xludf.DUMMYFUNCTION("""COMPUTED_VALUE"""),"Forensic Psychology                 Dr Mridula")</f>
        <v>Forensic Psychology                 Dr Mridula</v>
      </c>
      <c r="O95" s="3"/>
      <c r="P95" s="3" t="str">
        <f>IFERROR(__xludf.DUMMYFUNCTION("""COMPUTED_VALUE"""),"Data Analytics with R Programming  ThairAhmad")</f>
        <v>Data Analytics with R Programming  ThairAhmad</v>
      </c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 t="str">
        <f>IFERROR(__xludf.DUMMYFUNCTION("""COMPUTED_VALUE"""),"AB2  -  101")</f>
        <v>AB2  -  101</v>
      </c>
      <c r="D96" s="3" t="str">
        <f>IFERROR(__xludf.DUMMYFUNCTION("""COMPUTED_VALUE"""),"AB2  -  203")</f>
        <v>AB2  -  203</v>
      </c>
      <c r="E96" s="3" t="str">
        <f>IFERROR(__xludf.DUMMYFUNCTION("""COMPUTED_VALUE"""),"AB2 - 202")</f>
        <v>AB2 - 202</v>
      </c>
      <c r="F96" s="3" t="str">
        <f>IFERROR(__xludf.DUMMYFUNCTION("""COMPUTED_VALUE"""),"AB1 - 101")</f>
        <v>AB1 - 101</v>
      </c>
      <c r="G96" s="3" t="str">
        <f>IFERROR(__xludf.DUMMYFUNCTION("""COMPUTED_VALUE"""),"AB2  -  207")</f>
        <v>AB2  -  207</v>
      </c>
      <c r="H96" s="3" t="str">
        <f>IFERROR(__xludf.DUMMYFUNCTION("""COMPUTED_VALUE"""),"AB2 - 205")</f>
        <v>AB2 - 205</v>
      </c>
      <c r="I96" s="3" t="str">
        <f>IFERROR(__xludf.DUMMYFUNCTION("""COMPUTED_VALUE"""),"AB2 - 206")</f>
        <v>AB2 - 206</v>
      </c>
      <c r="J96" s="3" t="str">
        <f>IFERROR(__xludf.DUMMYFUNCTION("""COMPUTED_VALUE"""),"AB2  -  210")</f>
        <v>AB2  -  210</v>
      </c>
      <c r="K96" s="3" t="str">
        <f>IFERROR(__xludf.DUMMYFUNCTION("""COMPUTED_VALUE"""),"AB1 - 201")</f>
        <v>AB1 - 201</v>
      </c>
      <c r="L96" s="3" t="str">
        <f>IFERROR(__xludf.DUMMYFUNCTION("""COMPUTED_VALUE"""),"AB2 - 204")</f>
        <v>AB2 - 204</v>
      </c>
      <c r="M96" s="3" t="str">
        <f>IFERROR(__xludf.DUMMYFUNCTION("""COMPUTED_VALUE"""),"AB2 - 209")</f>
        <v>AB2 - 209</v>
      </c>
      <c r="N96" s="3" t="str">
        <f>IFERROR(__xludf.DUMMYFUNCTION("""COMPUTED_VALUE"""),"AB2 - 201")</f>
        <v>AB2 - 201</v>
      </c>
      <c r="O96" s="3" t="str">
        <f>IFERROR(__xludf.DUMMYFUNCTION("""COMPUTED_VALUE"""),"AB2 - 211")</f>
        <v>AB2 - 211</v>
      </c>
      <c r="P96" s="3" t="str">
        <f>IFERROR(__xludf.DUMMYFUNCTION("""COMPUTED_VALUE"""),"AB1 - 103")</f>
        <v>AB1 - 103</v>
      </c>
      <c r="Q96" s="3" t="str">
        <f>IFERROR(__xludf.DUMMYFUNCTION("""COMPUTED_VALUE"""),"AB1 - 102")</f>
        <v>AB1 - 102</v>
      </c>
      <c r="R96" s="3" t="str">
        <f>IFERROR(__xludf.DUMMYFUNCTION("""COMPUTED_VALUE"""),"AB1 - 104")</f>
        <v>AB1 - 104</v>
      </c>
      <c r="S96" s="3"/>
      <c r="T96" s="3"/>
      <c r="U96" s="3"/>
      <c r="V96" s="3"/>
      <c r="W96" s="3"/>
      <c r="X96" s="3"/>
      <c r="Y96" s="3"/>
      <c r="Z96" s="3"/>
    </row>
    <row r="97">
      <c r="A97" s="3"/>
      <c r="B97" s="3" t="str">
        <f>IFERROR(__xludf.DUMMYFUNCTION("""COMPUTED_VALUE"""),"01:15 PM - 01.55 PM")</f>
        <v>01:15 PM - 01.55 PM</v>
      </c>
      <c r="C97" s="3" t="str">
        <f>IFERROR(__xludf.DUMMYFUNCTION("""COMPUTED_VALUE"""),"LUNCH BREAK")</f>
        <v>LUNCH BREAK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 t="str">
        <f>IFERROR(__xludf.DUMMYFUNCTION("""COMPUTED_VALUE"""),"01.00PM - 01.55PM")</f>
        <v>01.00PM - 01.55PM</v>
      </c>
      <c r="C99" s="3" t="str">
        <f>IFERROR(__xludf.DUMMYFUNCTION("""COMPUTED_VALUE"""),"Design and analysis of algorithms - Sec 2 - David")</f>
        <v>Design and analysis of algorithms - Sec 2 - David</v>
      </c>
      <c r="D99" s="3" t="str">
        <f>IFERROR(__xludf.DUMMYFUNCTION("""COMPUTED_VALUE"""),"ET - Sec 2 - Sonar")</f>
        <v>ET - Sec 2 - Sonar</v>
      </c>
      <c r="E99" s="3"/>
      <c r="F99" s="3"/>
      <c r="G99" s="3" t="str">
        <f>IFERROR(__xludf.DUMMYFUNCTION("""COMPUTED_VALUE"""),"TOC - Sem 5 - Dr. Sangeetha")</f>
        <v>TOC - Sem 5 - Dr. Sangeetha</v>
      </c>
      <c r="H99" s="3" t="str">
        <f>IFERROR(__xludf.DUMMYFUNCTION("""COMPUTED_VALUE"""),"Projects - Sem 7 - Dr. KK")</f>
        <v>Projects - Sem 7 - Dr. KK</v>
      </c>
      <c r="I99" s="3" t="str">
        <f>IFERROR(__xludf.DUMMYFUNCTION("""COMPUTED_VALUE"""),"Microbiology         Manobala")</f>
        <v>Microbiology         Manobala</v>
      </c>
      <c r="J99" s="3" t="str">
        <f>IFERROR(__xludf.DUMMYFUNCTION("""COMPUTED_VALUE"""),"Community Psychology  Mridula")</f>
        <v>Community Psychology  Mridula</v>
      </c>
      <c r="K99" s="3" t="str">
        <f>IFERROR(__xludf.DUMMYFUNCTION("""COMPUTED_VALUE"""),"Moot Court and Internship - Nasma Sultana")</f>
        <v>Moot Court and Internship - Nasma Sultana</v>
      </c>
      <c r="L99" s="3"/>
      <c r="M99" s="3"/>
      <c r="N99" s="3"/>
      <c r="O99" s="3" t="str">
        <f>IFERROR(__xludf.DUMMYFUNCTION("""COMPUTED_VALUE"""),"Psychopathology  II                     Dr. Jemima")</f>
        <v>Psychopathology  II                     Dr. Jemima</v>
      </c>
      <c r="P99" s="3" t="str">
        <f>IFERROR(__xludf.DUMMYFUNCTION("""COMPUTED_VALUE"""),"Ethics                             Vivek")</f>
        <v>Ethics                             Vivek</v>
      </c>
      <c r="Q99" s="3"/>
      <c r="R99" s="3" t="str">
        <f>IFERROR(__xludf.DUMMYFUNCTION("""COMPUTED_VALUE"""),"Calculus and Linear Algebra           (Sem 1)      Arun Kumar")</f>
        <v>Calculus and Linear Algebra           (Sem 1)      Arun Kumar</v>
      </c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 t="str">
        <f>IFERROR(__xludf.DUMMYFUNCTION("""COMPUTED_VALUE"""),"AB2  -  101")</f>
        <v>AB2  -  101</v>
      </c>
      <c r="D100" s="3" t="str">
        <f>IFERROR(__xludf.DUMMYFUNCTION("""COMPUTED_VALUE"""),"AB2  -  203")</f>
        <v>AB2  -  203</v>
      </c>
      <c r="E100" s="3" t="str">
        <f>IFERROR(__xludf.DUMMYFUNCTION("""COMPUTED_VALUE"""),"AB2 - 202")</f>
        <v>AB2 - 202</v>
      </c>
      <c r="F100" s="3" t="str">
        <f>IFERROR(__xludf.DUMMYFUNCTION("""COMPUTED_VALUE"""),"AB1 - 101")</f>
        <v>AB1 - 101</v>
      </c>
      <c r="G100" s="3" t="str">
        <f>IFERROR(__xludf.DUMMYFUNCTION("""COMPUTED_VALUE"""),"AB2  -  207")</f>
        <v>AB2  -  207</v>
      </c>
      <c r="H100" s="3" t="str">
        <f>IFERROR(__xludf.DUMMYFUNCTION("""COMPUTED_VALUE"""),"AB2 - 205")</f>
        <v>AB2 - 205</v>
      </c>
      <c r="I100" s="3" t="str">
        <f>IFERROR(__xludf.DUMMYFUNCTION("""COMPUTED_VALUE"""),"AB2 - 206")</f>
        <v>AB2 - 206</v>
      </c>
      <c r="J100" s="3" t="str">
        <f>IFERROR(__xludf.DUMMYFUNCTION("""COMPUTED_VALUE"""),"AB2  -  210")</f>
        <v>AB2  -  210</v>
      </c>
      <c r="K100" s="3" t="str">
        <f>IFERROR(__xludf.DUMMYFUNCTION("""COMPUTED_VALUE"""),"AB1 - 201")</f>
        <v>AB1 - 201</v>
      </c>
      <c r="L100" s="3" t="str">
        <f>IFERROR(__xludf.DUMMYFUNCTION("""COMPUTED_VALUE"""),"AB2 - 204")</f>
        <v>AB2 - 204</v>
      </c>
      <c r="M100" s="3" t="str">
        <f>IFERROR(__xludf.DUMMYFUNCTION("""COMPUTED_VALUE"""),"AB2 - 209")</f>
        <v>AB2 - 209</v>
      </c>
      <c r="N100" s="3" t="str">
        <f>IFERROR(__xludf.DUMMYFUNCTION("""COMPUTED_VALUE"""),"AB2 - 201")</f>
        <v>AB2 - 201</v>
      </c>
      <c r="O100" s="3" t="str">
        <f>IFERROR(__xludf.DUMMYFUNCTION("""COMPUTED_VALUE"""),"AB2 - 211")</f>
        <v>AB2 - 211</v>
      </c>
      <c r="P100" s="3" t="str">
        <f>IFERROR(__xludf.DUMMYFUNCTION("""COMPUTED_VALUE"""),"AB1 - 103")</f>
        <v>AB1 - 103</v>
      </c>
      <c r="Q100" s="3" t="str">
        <f>IFERROR(__xludf.DUMMYFUNCTION("""COMPUTED_VALUE"""),"AB1 - 102")</f>
        <v>AB1 - 102</v>
      </c>
      <c r="R100" s="3" t="str">
        <f>IFERROR(__xludf.DUMMYFUNCTION("""COMPUTED_VALUE"""),"AB1 - 104")</f>
        <v>AB1 - 104</v>
      </c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 t="str">
        <f>IFERROR(__xludf.DUMMYFUNCTION("""COMPUTED_VALUE"""),"02.00 PM - 2.55PM")</f>
        <v>02.00 PM - 2.55PM</v>
      </c>
      <c r="C101" s="3" t="str">
        <f>IFERROR(__xludf.DUMMYFUNCTION("""COMPUTED_VALUE"""),"Design and analysis of algorithms - Sec 7 - Dr.Angel")</f>
        <v>Design and analysis of algorithms - Sec 7 - Dr.Angel</v>
      </c>
      <c r="D101" s="3" t="str">
        <f>IFERROR(__xludf.DUMMYFUNCTION("""COMPUTED_VALUE"""),"Foundation of Data Engineering - Sec 5 - Nitish")</f>
        <v>Foundation of Data Engineering - Sec 5 - Nitish</v>
      </c>
      <c r="E101" s="3" t="str">
        <f>IFERROR(__xludf.DUMMYFUNCTION("""COMPUTED_VALUE"""),"Web Technology - Sec 1 - Ujjwal")</f>
        <v>Web Technology - Sec 1 - Ujjwal</v>
      </c>
      <c r="F101" s="3"/>
      <c r="G101" s="3" t="str">
        <f>IFERROR(__xludf.DUMMYFUNCTION("""COMPUTED_VALUE"""),"TOC - Sem 5 - Dr. Sangeetha")</f>
        <v>TOC - Sem 5 - Dr. Sangeetha</v>
      </c>
      <c r="H101" s="3" t="str">
        <f>IFERROR(__xludf.DUMMYFUNCTION("""COMPUTED_VALUE"""),"TinyML - Sem 7 - Dr. Ashok")</f>
        <v>TinyML - Sem 7 - Dr. Ashok</v>
      </c>
      <c r="I101" s="3" t="str">
        <f>IFERROR(__xludf.DUMMYFUNCTION("""COMPUTED_VALUE"""),"Environmental Law")</f>
        <v>Environmental Law</v>
      </c>
      <c r="J101" s="3" t="str">
        <f>IFERROR(__xludf.DUMMYFUNCTION("""COMPUTED_VALUE"""),"Law of Insurance -                      Sanjay Bang")</f>
        <v>Law of Insurance -                      Sanjay Bang</v>
      </c>
      <c r="K101" s="3" t="str">
        <f>IFERROR(__xludf.DUMMYFUNCTION("""COMPUTED_VALUE"""),"Political Science 3  - Vivek Yadav")</f>
        <v>Political Science 3  - Vivek Yadav</v>
      </c>
      <c r="L101" s="3" t="str">
        <f>IFERROR(__xludf.DUMMYFUNCTION("""COMPUTED_VALUE"""),"Applied Biological Sciences                   Manobala")</f>
        <v>Applied Biological Sciences                   Manobala</v>
      </c>
      <c r="M101" s="3" t="str">
        <f>IFERROR(__xludf.DUMMYFUNCTION("""COMPUTED_VALUE"""),"Legal Methods                     Anjana Janardhanan")</f>
        <v>Legal Methods                     Anjana Janardhanan</v>
      </c>
      <c r="N101" s="3"/>
      <c r="O101" s="3"/>
      <c r="P101" s="3" t="str">
        <f>IFERROR(__xludf.DUMMYFUNCTION("""COMPUTED_VALUE"""),"Law of Evidence                     Jaisy George")</f>
        <v>Law of Evidence                     Jaisy George</v>
      </c>
      <c r="Q101" s="3"/>
      <c r="R101" s="3" t="str">
        <f>IFERROR(__xludf.DUMMYFUNCTION("""COMPUTED_VALUE"""),"Discrete Mathematics &amp; Set Theory                             ArunKumar")</f>
        <v>Discrete Mathematics &amp; Set Theory                             ArunKumar</v>
      </c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 t="str">
        <f>IFERROR(__xludf.DUMMYFUNCTION("""COMPUTED_VALUE"""),"AB2  -  101")</f>
        <v>AB2  -  101</v>
      </c>
      <c r="D102" s="3" t="str">
        <f>IFERROR(__xludf.DUMMYFUNCTION("""COMPUTED_VALUE"""),"AB2  -  203")</f>
        <v>AB2  -  203</v>
      </c>
      <c r="E102" s="3" t="str">
        <f>IFERROR(__xludf.DUMMYFUNCTION("""COMPUTED_VALUE"""),"AB2 - 202")</f>
        <v>AB2 - 202</v>
      </c>
      <c r="F102" s="3" t="str">
        <f>IFERROR(__xludf.DUMMYFUNCTION("""COMPUTED_VALUE"""),"AB1 - 101")</f>
        <v>AB1 - 101</v>
      </c>
      <c r="G102" s="3" t="str">
        <f>IFERROR(__xludf.DUMMYFUNCTION("""COMPUTED_VALUE"""),"AB2  -  207")</f>
        <v>AB2  -  207</v>
      </c>
      <c r="H102" s="3" t="str">
        <f>IFERROR(__xludf.DUMMYFUNCTION("""COMPUTED_VALUE"""),"AB2 - 205")</f>
        <v>AB2 - 205</v>
      </c>
      <c r="I102" s="3" t="str">
        <f>IFERROR(__xludf.DUMMYFUNCTION("""COMPUTED_VALUE"""),"AB2 - 206")</f>
        <v>AB2 - 206</v>
      </c>
      <c r="J102" s="3" t="str">
        <f>IFERROR(__xludf.DUMMYFUNCTION("""COMPUTED_VALUE"""),"AB2  -  210")</f>
        <v>AB2  -  210</v>
      </c>
      <c r="K102" s="3" t="str">
        <f>IFERROR(__xludf.DUMMYFUNCTION("""COMPUTED_VALUE"""),"AB1 - 201")</f>
        <v>AB1 - 201</v>
      </c>
      <c r="L102" s="3" t="str">
        <f>IFERROR(__xludf.DUMMYFUNCTION("""COMPUTED_VALUE"""),"AB2 - 204")</f>
        <v>AB2 - 204</v>
      </c>
      <c r="M102" s="3" t="str">
        <f>IFERROR(__xludf.DUMMYFUNCTION("""COMPUTED_VALUE"""),"AB2 - 209")</f>
        <v>AB2 - 209</v>
      </c>
      <c r="N102" s="3" t="str">
        <f>IFERROR(__xludf.DUMMYFUNCTION("""COMPUTED_VALUE"""),"AB2 - 201")</f>
        <v>AB2 - 201</v>
      </c>
      <c r="O102" s="3" t="str">
        <f>IFERROR(__xludf.DUMMYFUNCTION("""COMPUTED_VALUE"""),"AB2 - 211")</f>
        <v>AB2 - 211</v>
      </c>
      <c r="P102" s="3" t="str">
        <f>IFERROR(__xludf.DUMMYFUNCTION("""COMPUTED_VALUE"""),"AB1 - 103")</f>
        <v>AB1 - 103</v>
      </c>
      <c r="Q102" s="3" t="str">
        <f>IFERROR(__xludf.DUMMYFUNCTION("""COMPUTED_VALUE"""),"AB1 - 102")</f>
        <v>AB1 - 102</v>
      </c>
      <c r="R102" s="3" t="str">
        <f>IFERROR(__xludf.DUMMYFUNCTION("""COMPUTED_VALUE"""),"AB1 - 104")</f>
        <v>AB1 - 104</v>
      </c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 t="str">
        <f>IFERROR(__xludf.DUMMYFUNCTION("""COMPUTED_VALUE"""),"03.00 PM - 03.55 PM")</f>
        <v>03.00 PM - 03.55 PM</v>
      </c>
      <c r="C103" s="3" t="str">
        <f>IFERROR(__xludf.DUMMYFUNCTION("""COMPUTED_VALUE"""),"Web Technology - Sec 6 - Aravind")</f>
        <v>Web Technology - Sec 6 - Aravind</v>
      </c>
      <c r="D103" s="3" t="str">
        <f>IFERROR(__xludf.DUMMYFUNCTION("""COMPUTED_VALUE"""),"Foundation of Data Engineering - Sec 5 - Nitish")</f>
        <v>Foundation of Data Engineering - Sec 5 - Nitish</v>
      </c>
      <c r="E103" s="3" t="str">
        <f>IFERROR(__xludf.DUMMYFUNCTION("""COMPUTED_VALUE"""),"Critical Thinking (SAS/SoAI/SoB/SoT/SCDS)  (sem 1)               Megha Kapoor")</f>
        <v>Critical Thinking (SAS/SoAI/SoB/SoT/SCDS)  (sem 1)               Megha Kapoor</v>
      </c>
      <c r="F103" s="3" t="str">
        <f>IFERROR(__xludf.DUMMYFUNCTION("""COMPUTED_VALUE"""),"Web Technology - Sec 4 - Rupam Sah")</f>
        <v>Web Technology - Sec 4 - Rupam Sah</v>
      </c>
      <c r="G103" s="3" t="str">
        <f>IFERROR(__xludf.DUMMYFUNCTION("""COMPUTED_VALUE"""),"COA - Sem 5 - Mariya")</f>
        <v>COA - Sem 5 - Mariya</v>
      </c>
      <c r="H103" s="3" t="str">
        <f>IFERROR(__xludf.DUMMYFUNCTION("""COMPUTED_VALUE"""),"Advance_P - Sem 7 - Ujjwal")</f>
        <v>Advance_P - Sem 7 - Ujjwal</v>
      </c>
      <c r="I103" s="3" t="str">
        <f>IFERROR(__xludf.DUMMYFUNCTION("""COMPUTED_VALUE"""),"Property Law                    Anjana Janardhanan")</f>
        <v>Property Law                    Anjana Janardhanan</v>
      </c>
      <c r="J103" s="3" t="str">
        <f>IFERROR(__xludf.DUMMYFUNCTION("""COMPUTED_VALUE"""),"Securities Law - Anand Shrivas")</f>
        <v>Securities Law - Anand Shrivas</v>
      </c>
      <c r="K103" s="3" t="str">
        <f>IFERROR(__xludf.DUMMYFUNCTION("""COMPUTED_VALUE"""),"Economics 3 / Modern Indian Economy")</f>
        <v>Economics 3 / Modern Indian Economy</v>
      </c>
      <c r="L103" s="3" t="str">
        <f>IFERROR(__xludf.DUMMYFUNCTION("""COMPUTED_VALUE"""),"Neuroanatomy                         Ms. Karen")</f>
        <v>Neuroanatomy                         Ms. Karen</v>
      </c>
      <c r="M103" s="3"/>
      <c r="N103" s="3" t="str">
        <f>IFERROR(__xludf.DUMMYFUNCTION("""COMPUTED_VALUE"""),"Law of Torts                (Payal)")</f>
        <v>Law of Torts                (Payal)</v>
      </c>
      <c r="O103" s="3"/>
      <c r="P103" s="3" t="str">
        <f>IFERROR(__xludf.DUMMYFUNCTION("""COMPUTED_VALUE"""),"Environmental Biotechnology                             Dr. Vigneswaran")</f>
        <v>Environmental Biotechnology                             Dr. Vigneswaran</v>
      </c>
      <c r="Q103" s="3"/>
      <c r="R103" s="3" t="str">
        <f>IFERROR(__xludf.DUMMYFUNCTION("""COMPUTED_VALUE"""),"Principles of Financial Management  /  Introduction to BFSI &amp; Financial Technology               Ajit Nag")</f>
        <v>Principles of Financial Management  /  Introduction to BFSI &amp; Financial Technology               Ajit Nag</v>
      </c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 t="str">
        <f>IFERROR(__xludf.DUMMYFUNCTION("""COMPUTED_VALUE"""),"AB2  -  101")</f>
        <v>AB2  -  101</v>
      </c>
      <c r="D104" s="3" t="str">
        <f>IFERROR(__xludf.DUMMYFUNCTION("""COMPUTED_VALUE"""),"AB2  -  203")</f>
        <v>AB2  -  203</v>
      </c>
      <c r="E104" s="3" t="str">
        <f>IFERROR(__xludf.DUMMYFUNCTION("""COMPUTED_VALUE"""),"AB2 - 202")</f>
        <v>AB2 - 202</v>
      </c>
      <c r="F104" s="3" t="str">
        <f>IFERROR(__xludf.DUMMYFUNCTION("""COMPUTED_VALUE"""),"AB1 - 101")</f>
        <v>AB1 - 101</v>
      </c>
      <c r="G104" s="3" t="str">
        <f>IFERROR(__xludf.DUMMYFUNCTION("""COMPUTED_VALUE"""),"AB2  -  207")</f>
        <v>AB2  -  207</v>
      </c>
      <c r="H104" s="3" t="str">
        <f>IFERROR(__xludf.DUMMYFUNCTION("""COMPUTED_VALUE"""),"AB2 - 205")</f>
        <v>AB2 - 205</v>
      </c>
      <c r="I104" s="3" t="str">
        <f>IFERROR(__xludf.DUMMYFUNCTION("""COMPUTED_VALUE"""),"AB2 - 206")</f>
        <v>AB2 - 206</v>
      </c>
      <c r="J104" s="3" t="str">
        <f>IFERROR(__xludf.DUMMYFUNCTION("""COMPUTED_VALUE"""),"AB2  -  210")</f>
        <v>AB2  -  210</v>
      </c>
      <c r="K104" s="3" t="str">
        <f>IFERROR(__xludf.DUMMYFUNCTION("""COMPUTED_VALUE"""),"AB1 - 201")</f>
        <v>AB1 - 201</v>
      </c>
      <c r="L104" s="3" t="str">
        <f>IFERROR(__xludf.DUMMYFUNCTION("""COMPUTED_VALUE"""),"AB2 - 204")</f>
        <v>AB2 - 204</v>
      </c>
      <c r="M104" s="3" t="str">
        <f>IFERROR(__xludf.DUMMYFUNCTION("""COMPUTED_VALUE"""),"AB2 - 209")</f>
        <v>AB2 - 209</v>
      </c>
      <c r="N104" s="3" t="str">
        <f>IFERROR(__xludf.DUMMYFUNCTION("""COMPUTED_VALUE"""),"AB2 - 201")</f>
        <v>AB2 - 201</v>
      </c>
      <c r="O104" s="3" t="str">
        <f>IFERROR(__xludf.DUMMYFUNCTION("""COMPUTED_VALUE"""),"AB2 - 211")</f>
        <v>AB2 - 211</v>
      </c>
      <c r="P104" s="3" t="str">
        <f>IFERROR(__xludf.DUMMYFUNCTION("""COMPUTED_VALUE"""),"AB1 - 103")</f>
        <v>AB1 - 103</v>
      </c>
      <c r="Q104" s="3" t="str">
        <f>IFERROR(__xludf.DUMMYFUNCTION("""COMPUTED_VALUE"""),"AB1 - 102")</f>
        <v>AB1 - 102</v>
      </c>
      <c r="R104" s="3" t="str">
        <f>IFERROR(__xludf.DUMMYFUNCTION("""COMPUTED_VALUE"""),"AB1 - 104")</f>
        <v>AB1 - 104</v>
      </c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 t="str">
        <f>IFERROR(__xludf.DUMMYFUNCTION("""COMPUTED_VALUE"""),"04.00 PM - 04.55 PM")</f>
        <v>04.00 PM - 04.55 PM</v>
      </c>
      <c r="C105" s="3" t="str">
        <f>IFERROR(__xludf.DUMMYFUNCTION("""COMPUTED_VALUE"""),"ET - Sec 3 - Aravind")</f>
        <v>ET - Sec 3 - Aravind</v>
      </c>
      <c r="D105" s="3" t="str">
        <f>IFERROR(__xludf.DUMMYFUNCTION("""COMPUTED_VALUE"""),"Frontiers of AI      Sem 1                                              Dr. Pankaj Jain")</f>
        <v>Frontiers of AI      Sem 1                                              Dr. Pankaj Jain</v>
      </c>
      <c r="E105" s="3" t="str">
        <f>IFERROR(__xludf.DUMMYFUNCTION("""COMPUTED_VALUE"""),"Design and analysis of algorithms - Sec 4 - Joydeep")</f>
        <v>Design and analysis of algorithms - Sec 4 - Joydeep</v>
      </c>
      <c r="F105" s="3"/>
      <c r="G105" s="3"/>
      <c r="H105" s="3" t="str">
        <f>IFERROR(__xludf.DUMMYFUNCTION("""COMPUTED_VALUE"""),"Agentic AI  - Sem 7 - Sonar")</f>
        <v>Agentic AI  - Sem 7 - Sonar</v>
      </c>
      <c r="I105" s="3" t="str">
        <f>IFERROR(__xludf.DUMMYFUNCTION("""COMPUTED_VALUE"""),"Introduction to Research Methodology                  Meenakshi Srihari")</f>
        <v>Introduction to Research Methodology                  Meenakshi Srihari</v>
      </c>
      <c r="J105" s="3"/>
      <c r="K105" s="3" t="str">
        <f>IFERROR(__xludf.DUMMYFUNCTION("""COMPUTED_VALUE"""),"Economics 3 / Modern Indian Economy")</f>
        <v>Economics 3 / Modern Indian Economy</v>
      </c>
      <c r="L105" s="3" t="str">
        <f>IFERROR(__xludf.DUMMYFUNCTION("""COMPUTED_VALUE"""),"Securities Law - Anand Shrivas")</f>
        <v>Securities Law - Anand Shrivas</v>
      </c>
      <c r="M105" s="3" t="str">
        <f>IFERROR(__xludf.DUMMYFUNCTION("""COMPUTED_VALUE"""),"Thinking through Indian Traditions                              Ankita Kushwaha")</f>
        <v>Thinking through Indian Traditions                              Ankita Kushwaha</v>
      </c>
      <c r="N105" s="3"/>
      <c r="O105" s="3"/>
      <c r="P105" s="3" t="str">
        <f>IFERROR(__xludf.DUMMYFUNCTION("""COMPUTED_VALUE"""),"Introduction to Philosophy                  Siddharth")</f>
        <v>Introduction to Philosophy                  Siddharth</v>
      </c>
      <c r="Q105" s="3"/>
      <c r="R105" s="3" t="str">
        <f>IFERROR(__xludf.DUMMYFUNCTION("""COMPUTED_VALUE"""),"Principles of Financial Management  /  Introduction to BFSI &amp; Financial Technology               Ajit Nag")</f>
        <v>Principles of Financial Management  /  Introduction to BFSI &amp; Financial Technology               Ajit Nag</v>
      </c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 t="str">
        <f>IFERROR(__xludf.DUMMYFUNCTION("""COMPUTED_VALUE"""),"AB2  -  101")</f>
        <v>AB2  -  101</v>
      </c>
      <c r="D106" s="3" t="str">
        <f>IFERROR(__xludf.DUMMYFUNCTION("""COMPUTED_VALUE"""),"AB2  -  203")</f>
        <v>AB2  -  203</v>
      </c>
      <c r="E106" s="3" t="str">
        <f>IFERROR(__xludf.DUMMYFUNCTION("""COMPUTED_VALUE"""),"AB2 - 202")</f>
        <v>AB2 - 202</v>
      </c>
      <c r="F106" s="3" t="str">
        <f>IFERROR(__xludf.DUMMYFUNCTION("""COMPUTED_VALUE"""),"AB1 - 101")</f>
        <v>AB1 - 101</v>
      </c>
      <c r="G106" s="3" t="str">
        <f>IFERROR(__xludf.DUMMYFUNCTION("""COMPUTED_VALUE"""),"AB2  -  207")</f>
        <v>AB2  -  207</v>
      </c>
      <c r="H106" s="3" t="str">
        <f>IFERROR(__xludf.DUMMYFUNCTION("""COMPUTED_VALUE"""),"AB2 - 205")</f>
        <v>AB2 - 205</v>
      </c>
      <c r="I106" s="3" t="str">
        <f>IFERROR(__xludf.DUMMYFUNCTION("""COMPUTED_VALUE"""),"AB2 - 206")</f>
        <v>AB2 - 206</v>
      </c>
      <c r="J106" s="3" t="str">
        <f>IFERROR(__xludf.DUMMYFUNCTION("""COMPUTED_VALUE"""),"AB2  -  210")</f>
        <v>AB2  -  210</v>
      </c>
      <c r="K106" s="3" t="str">
        <f>IFERROR(__xludf.DUMMYFUNCTION("""COMPUTED_VALUE"""),"AB1 - 201")</f>
        <v>AB1 - 201</v>
      </c>
      <c r="L106" s="3" t="str">
        <f>IFERROR(__xludf.DUMMYFUNCTION("""COMPUTED_VALUE"""),"AB2 - 204")</f>
        <v>AB2 - 204</v>
      </c>
      <c r="M106" s="3" t="str">
        <f>IFERROR(__xludf.DUMMYFUNCTION("""COMPUTED_VALUE"""),"AB2 - 209")</f>
        <v>AB2 - 209</v>
      </c>
      <c r="N106" s="3" t="str">
        <f>IFERROR(__xludf.DUMMYFUNCTION("""COMPUTED_VALUE"""),"AB2 - 201")</f>
        <v>AB2 - 201</v>
      </c>
      <c r="O106" s="3" t="str">
        <f>IFERROR(__xludf.DUMMYFUNCTION("""COMPUTED_VALUE"""),"AB2 - 211")</f>
        <v>AB2 - 211</v>
      </c>
      <c r="P106" s="3" t="str">
        <f>IFERROR(__xludf.DUMMYFUNCTION("""COMPUTED_VALUE"""),"AB1 - 103")</f>
        <v>AB1 - 103</v>
      </c>
      <c r="Q106" s="3" t="str">
        <f>IFERROR(__xludf.DUMMYFUNCTION("""COMPUTED_VALUE"""),"AB1 - 102")</f>
        <v>AB1 - 102</v>
      </c>
      <c r="R106" s="3" t="str">
        <f>IFERROR(__xludf.DUMMYFUNCTION("""COMPUTED_VALUE"""),"AB1 - 104")</f>
        <v>AB1 - 104</v>
      </c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>
        <f>IFERROR(__xludf.DUMMYFUNCTION("""COMPUTED_VALUE"""),0.0)</f>
        <v>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tr">
        <f>IFERROR(__xludf.DUMMYFUNCTION("IMPORTRANGE(""1M3jl6_D3EBy-5b1xjv0RLgGaEMymcJAVr9RNnsxkVp0"",""'DAA Lab (CS324) Schedule'!A:ZZ"")"),"Design and Analysis of Algorithms Lab (CS324) Schedule From 10-August-2026")</f>
        <v>Design and Analysis of Algorithms Lab (CS324) Schedule From 10-August-2026</v>
      </c>
      <c r="B1" s="3"/>
      <c r="C1" s="3"/>
      <c r="D1" s="3" t="str">
        <f>IFERROR(__xludf.DUMMYFUNCTION("""COMPUTED_VALUE"""),"  ")</f>
        <v>  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3" t="str">
        <f>IFERROR(__xludf.DUMMYFUNCTION("""COMPUTED_VALUE"""),"Day")</f>
        <v>Day</v>
      </c>
      <c r="B2" s="3" t="str">
        <f>IFERROR(__xludf.DUMMYFUNCTION("""COMPUTED_VALUE"""),"Time")</f>
        <v>Time</v>
      </c>
      <c r="C2" s="3" t="str">
        <f>IFERROR(__xludf.DUMMYFUNCTION("""COMPUTED_VALUE"""),"Section")</f>
        <v>Section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tr">
        <f>IFERROR(__xludf.DUMMYFUNCTION("""COMPUTED_VALUE"""),"DAA Lab")</f>
        <v>DAA Lab</v>
      </c>
      <c r="Z2" s="3"/>
      <c r="AA2" s="3"/>
      <c r="AB2" s="3"/>
      <c r="AC2" s="3"/>
      <c r="AD2" s="3"/>
      <c r="AE2" s="3"/>
      <c r="AF2" s="3"/>
    </row>
    <row r="3">
      <c r="A3" s="3" t="str">
        <f>IFERROR(__xludf.DUMMYFUNCTION("""COMPUTED_VALUE"""),"Monday")</f>
        <v>Monday</v>
      </c>
      <c r="B3" s="3" t="str">
        <f>IFERROR(__xludf.DUMMYFUNCTION("""COMPUTED_VALUE"""),"09:15 AM -  10:10 AM")</f>
        <v>09:15 AM -  10:10 AM</v>
      </c>
      <c r="C3" s="3" t="str">
        <f>IFERROR(__xludf.DUMMYFUNCTION("""COMPUTED_VALUE"""),"DAA Sec2 David")</f>
        <v>DAA Sec2 David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 t="str">
        <f>IFERROR(__xludf.DUMMYFUNCTION("""COMPUTED_VALUE"""),"Section")</f>
        <v>Section</v>
      </c>
      <c r="Z3" s="3" t="str">
        <f>IFERROR(__xludf.DUMMYFUNCTION("""COMPUTED_VALUE"""),"Faculty")</f>
        <v>Faculty</v>
      </c>
      <c r="AA3" s="3"/>
      <c r="AB3" s="3"/>
      <c r="AC3" s="3"/>
      <c r="AD3" s="3"/>
      <c r="AE3" s="3"/>
      <c r="AF3" s="3"/>
    </row>
    <row r="4">
      <c r="A4" s="3"/>
      <c r="B4" s="3" t="str">
        <f>IFERROR(__xludf.DUMMYFUNCTION("""COMPUTED_VALUE"""),"10:15 AM -  11:10 AM")</f>
        <v>10:15 AM -  11:10 AM</v>
      </c>
      <c r="C4" s="3" t="str">
        <f>IFERROR(__xludf.DUMMYFUNCTION("""COMPUTED_VALUE"""),"DAA Sec2 David")</f>
        <v>DAA Sec2 David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tr">
        <f>IFERROR(__xludf.DUMMYFUNCTION("""COMPUTED_VALUE"""),"DAA Lab Sec1")</f>
        <v>DAA Lab Sec1</v>
      </c>
      <c r="Z4" s="3"/>
      <c r="AA4" s="3"/>
      <c r="AB4" s="3"/>
      <c r="AC4" s="3"/>
      <c r="AD4" s="3"/>
      <c r="AE4" s="3"/>
      <c r="AF4" s="3"/>
    </row>
    <row r="5">
      <c r="A5" s="3"/>
      <c r="B5" s="3" t="str">
        <f>IFERROR(__xludf.DUMMYFUNCTION("""COMPUTED_VALUE"""),"11.15 AM - 12.10 PM")</f>
        <v>11.15 AM - 12.10 PM</v>
      </c>
      <c r="C5" s="3" t="str">
        <f>IFERROR(__xludf.DUMMYFUNCTION("""COMPUTED_VALUE"""),"DAA Sec3 Nitish")</f>
        <v>DAA Sec3 Nitish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 t="str">
        <f>IFERROR(__xludf.DUMMYFUNCTION("""COMPUTED_VALUE"""),"DAA Lab Sec2")</f>
        <v>DAA Lab Sec2</v>
      </c>
      <c r="Z5" s="3"/>
      <c r="AA5" s="3"/>
      <c r="AB5" s="3"/>
      <c r="AC5" s="3"/>
      <c r="AD5" s="3"/>
      <c r="AE5" s="3"/>
      <c r="AF5" s="3"/>
    </row>
    <row r="6">
      <c r="A6" s="3"/>
      <c r="B6" s="3" t="str">
        <f>IFERROR(__xludf.DUMMYFUNCTION("""COMPUTED_VALUE"""),"12:15 PM -  12:55 PM")</f>
        <v>12:15 PM -  12:55 PM</v>
      </c>
      <c r="C6" s="3" t="str">
        <f>IFERROR(__xludf.DUMMYFUNCTION("""COMPUTED_VALUE"""),"LUNCH BREAK")</f>
        <v>LUNCH BREAK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 t="str">
        <f>IFERROR(__xludf.DUMMYFUNCTION("""COMPUTED_VALUE"""),"DAA Lab Sec3")</f>
        <v>DAA Lab Sec3</v>
      </c>
      <c r="Z6" s="3"/>
      <c r="AA6" s="3"/>
      <c r="AB6" s="3"/>
      <c r="AC6" s="3"/>
      <c r="AD6" s="3"/>
      <c r="AE6" s="3"/>
      <c r="AF6" s="3"/>
    </row>
    <row r="7">
      <c r="A7" s="3"/>
      <c r="B7" s="3" t="str">
        <f>IFERROR(__xludf.DUMMYFUNCTION("""COMPUTED_VALUE"""),"12.15 PM - 01.10 PM")</f>
        <v>12.15 PM - 01.10 PM</v>
      </c>
      <c r="C7" s="3" t="str">
        <f>IFERROR(__xludf.DUMMYFUNCTION("""COMPUTED_VALUE"""),"DAA Sec3 Nitish")</f>
        <v>DAA Sec3 Nitish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3"/>
      <c r="B8" s="3" t="str">
        <f>IFERROR(__xludf.DUMMYFUNCTION("""COMPUTED_VALUE"""),"01:15 PM - 01.55 PM")</f>
        <v>01:15 PM - 01.55 PM</v>
      </c>
      <c r="C8" s="3" t="str">
        <f>IFERROR(__xludf.DUMMYFUNCTION("""COMPUTED_VALUE"""),"LUNCH BREAK")</f>
        <v>LUNCH BREAK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 t="str">
        <f>IFERROR(__xludf.DUMMYFUNCTION("""COMPUTED_VALUE"""),"DAA Lab Sec4")</f>
        <v>DAA Lab Sec4</v>
      </c>
      <c r="Z8" s="3"/>
      <c r="AA8" s="3"/>
      <c r="AB8" s="3"/>
      <c r="AC8" s="3"/>
      <c r="AD8" s="3"/>
      <c r="AE8" s="3"/>
      <c r="AF8" s="3"/>
    </row>
    <row r="9">
      <c r="A9" s="3"/>
      <c r="B9" s="3" t="str">
        <f>IFERROR(__xludf.DUMMYFUNCTION("""COMPUTED_VALUE"""),"01:10 PM - 01.55 PM")</f>
        <v>01:10 PM - 01.55 PM</v>
      </c>
      <c r="C9" s="3" t="str">
        <f>IFERROR(__xludf.DUMMYFUNCTION("""COMPUTED_VALUE"""),"DAA Sec4 Joydeep")</f>
        <v>DAA Sec4 Joydeep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 t="str">
        <f>IFERROR(__xludf.DUMMYFUNCTION("""COMPUTED_VALUE"""),"DAA Lab Sec5")</f>
        <v>DAA Lab Sec5</v>
      </c>
      <c r="Z9" s="3"/>
      <c r="AA9" s="3"/>
      <c r="AB9" s="3"/>
      <c r="AC9" s="3"/>
      <c r="AD9" s="3"/>
      <c r="AE9" s="3"/>
      <c r="AF9" s="3"/>
    </row>
    <row r="10">
      <c r="A10" s="3"/>
      <c r="B10" s="3" t="str">
        <f>IFERROR(__xludf.DUMMYFUNCTION("""COMPUTED_VALUE"""),"02.00 PM - 02.55 PM")</f>
        <v>02.00 PM - 02.55 PM</v>
      </c>
      <c r="C10" s="3" t="str">
        <f>IFERROR(__xludf.DUMMYFUNCTION("""COMPUTED_VALUE"""),"DAA Sec4 Joydeep")</f>
        <v>DAA Sec4 Joydeep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 t="str">
        <f>IFERROR(__xludf.DUMMYFUNCTION("""COMPUTED_VALUE"""),"DAA Lab Sec6")</f>
        <v>DAA Lab Sec6</v>
      </c>
      <c r="Z10" s="3"/>
      <c r="AA10" s="3"/>
      <c r="AB10" s="3"/>
      <c r="AC10" s="3"/>
      <c r="AD10" s="3"/>
      <c r="AE10" s="3"/>
      <c r="AF10" s="3"/>
    </row>
    <row r="11">
      <c r="A11" s="3"/>
      <c r="B11" s="3" t="str">
        <f>IFERROR(__xludf.DUMMYFUNCTION("""COMPUTED_VALUE"""),"03.00 PM - 03.55 PM")</f>
        <v>03.00 PM - 03.55 PM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 t="str">
        <f>IFERROR(__xludf.DUMMYFUNCTION("""COMPUTED_VALUE"""),"DAA Lab Sec7")</f>
        <v>DAA Lab Sec7</v>
      </c>
      <c r="Z11" s="3"/>
      <c r="AA11" s="3"/>
      <c r="AB11" s="3"/>
      <c r="AC11" s="3"/>
      <c r="AD11" s="3"/>
      <c r="AE11" s="3"/>
      <c r="AF11" s="3"/>
    </row>
    <row r="12">
      <c r="A12" s="3"/>
      <c r="B12" s="3" t="str">
        <f>IFERROR(__xludf.DUMMYFUNCTION("""COMPUTED_VALUE"""),"04.00 PM - 04.55 PM")</f>
        <v>04.00 PM - 04.55 PM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 t="str">
        <f>IFERROR(__xludf.DUMMYFUNCTION("""COMPUTED_VALUE"""),"DAA Lab Sec8")</f>
        <v>DAA Lab Sec8</v>
      </c>
      <c r="Z12" s="3"/>
      <c r="AA12" s="3"/>
      <c r="AB12" s="3"/>
      <c r="AC12" s="3"/>
      <c r="AD12" s="3"/>
      <c r="AE12" s="3"/>
      <c r="AF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3" t="str">
        <f>IFERROR(__xludf.DUMMYFUNCTION("""COMPUTED_VALUE"""),"Tuesday")</f>
        <v>Tuesday</v>
      </c>
      <c r="B14" s="3" t="str">
        <f>IFERROR(__xludf.DUMMYFUNCTION("""COMPUTED_VALUE"""),"09:15 AM -  10:10 AM")</f>
        <v>09:15 AM -  10:10 AM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3"/>
      <c r="B15" s="3" t="str">
        <f>IFERROR(__xludf.DUMMYFUNCTION("""COMPUTED_VALUE"""),"10:15 AM -  11:10 AM")</f>
        <v>10:15 AM -  11:10 AM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str">
        <f>IFERROR(__xludf.DUMMYFUNCTION("""COMPUTED_VALUE"""),"Day")</f>
        <v>Day</v>
      </c>
      <c r="Z15" s="3" t="str">
        <f>IFERROR(__xludf.DUMMYFUNCTION("""COMPUTED_VALUE"""),"Time")</f>
        <v>Time</v>
      </c>
      <c r="AA15" s="3" t="str">
        <f>IFERROR(__xludf.DUMMYFUNCTION("""COMPUTED_VALUE"""),"Section")</f>
        <v>Section</v>
      </c>
      <c r="AB15" s="3" t="str">
        <f>IFERROR(__xludf.DUMMYFUNCTION("""COMPUTED_VALUE"""),"Lab In charge
Faculty-1")</f>
        <v>Lab In charge
Faculty-1</v>
      </c>
      <c r="AC15" s="3" t="str">
        <f>IFERROR(__xludf.DUMMYFUNCTION("""COMPUTED_VALUE"""),"Lab
Faculty-2")</f>
        <v>Lab
Faculty-2</v>
      </c>
      <c r="AD15" s="3" t="str">
        <f>IFERROR(__xludf.DUMMYFUNCTION("""COMPUTED_VALUE"""),"Faculty-2 | Slot-1 
Feb 16 to Mar 13")</f>
        <v>Faculty-2 | Slot-1 
Feb 16 to Mar 13</v>
      </c>
      <c r="AE15" s="3"/>
      <c r="AF15" s="3" t="str">
        <f>IFERROR(__xludf.DUMMYFUNCTION("""COMPUTED_VALUE"""),"Faculty-2 | Slot-3 
Apr 13 to May 08")</f>
        <v>Faculty-2 | Slot-3 
Apr 13 to May 08</v>
      </c>
    </row>
    <row r="16">
      <c r="A16" s="3"/>
      <c r="B16" s="3" t="str">
        <f>IFERROR(__xludf.DUMMYFUNCTION("""COMPUTED_VALUE"""),"11.15 AM - 12.10 PM")</f>
        <v>11.15 AM - 12.10 PM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 t="str">
        <f>IFERROR(__xludf.DUMMYFUNCTION("""COMPUTED_VALUE"""),"Monday")</f>
        <v>Monday</v>
      </c>
      <c r="Z16" s="3" t="str">
        <f>IFERROR(__xludf.DUMMYFUNCTION("""COMPUTED_VALUE"""),"9:00 - 10:30")</f>
        <v>9:00 - 10:30</v>
      </c>
      <c r="AA16" s="3"/>
      <c r="AB16" s="3"/>
      <c r="AC16" s="3"/>
      <c r="AD16" s="3"/>
      <c r="AE16" s="3"/>
      <c r="AF16" s="3"/>
    </row>
    <row r="17">
      <c r="A17" s="3"/>
      <c r="B17" s="3" t="str">
        <f>IFERROR(__xludf.DUMMYFUNCTION("""COMPUTED_VALUE"""),"12:15 PM -  12:55 PM")</f>
        <v>12:15 PM -  12:55 PM</v>
      </c>
      <c r="C17" s="3" t="str">
        <f>IFERROR(__xludf.DUMMYFUNCTION("""COMPUTED_VALUE"""),"LUNCH BREAK")</f>
        <v>LUNCH BREAK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tr">
        <f>IFERROR(__xludf.DUMMYFUNCTION("""COMPUTED_VALUE"""),"10:40 - 12:10")</f>
        <v>10:40 - 12:10</v>
      </c>
      <c r="AA17" s="3" t="str">
        <f>IFERROR(__xludf.DUMMYFUNCTION("""COMPUTED_VALUE"""),"Sec7")</f>
        <v>Sec7</v>
      </c>
      <c r="AB17" s="3" t="str">
        <f>IFERROR(__xludf.DUMMYFUNCTION("""COMPUTED_VALUE"""),"Aravindh")</f>
        <v>Aravindh</v>
      </c>
      <c r="AC17" s="3" t="str">
        <f>IFERROR(__xludf.DUMMYFUNCTION("""COMPUTED_VALUE"""),"Angel")</f>
        <v>Angel</v>
      </c>
      <c r="AD17" s="3"/>
      <c r="AE17" s="3"/>
      <c r="AF17" s="3"/>
    </row>
    <row r="18">
      <c r="A18" s="3"/>
      <c r="B18" s="3" t="str">
        <f>IFERROR(__xludf.DUMMYFUNCTION("""COMPUTED_VALUE"""),"12.15 PM - 01.10 PM")</f>
        <v>12.15 PM - 01.10 PM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tr">
        <f>IFERROR(__xludf.DUMMYFUNCTION("""COMPUTED_VALUE"""),"2:10 - 3:35")</f>
        <v>2:10 - 3:35</v>
      </c>
      <c r="AA18" s="3" t="str">
        <f>IFERROR(__xludf.DUMMYFUNCTION("""COMPUTED_VALUE"""),"Sec5")</f>
        <v>Sec5</v>
      </c>
      <c r="AB18" s="3" t="str">
        <f>IFERROR(__xludf.DUMMYFUNCTION("""COMPUTED_VALUE"""),"David")</f>
        <v>David</v>
      </c>
      <c r="AC18" s="3" t="str">
        <f>IFERROR(__xludf.DUMMYFUNCTION("""COMPUTED_VALUE"""),"Mariya")</f>
        <v>Mariya</v>
      </c>
      <c r="AD18" s="3"/>
      <c r="AE18" s="3"/>
      <c r="AF18" s="3"/>
    </row>
    <row r="19">
      <c r="A19" s="3"/>
      <c r="B19" s="3" t="str">
        <f>IFERROR(__xludf.DUMMYFUNCTION("""COMPUTED_VALUE"""),"01:15 PM - 01.55 PM")</f>
        <v>01:15 PM - 01.55 PM</v>
      </c>
      <c r="C19" s="3" t="str">
        <f>IFERROR(__xludf.DUMMYFUNCTION("""COMPUTED_VALUE"""),"LUNCH BREAK")</f>
        <v>LUNCH BREAK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tr">
        <f>IFERROR(__xludf.DUMMYFUNCTION("""COMPUTED_VALUE"""),"3:50 - 5:15")</f>
        <v>3:50 - 5:15</v>
      </c>
      <c r="AA19" s="3" t="str">
        <f>IFERROR(__xludf.DUMMYFUNCTION("""COMPUTED_VALUE"""),"Sec3")</f>
        <v>Sec3</v>
      </c>
      <c r="AB19" s="3" t="str">
        <f>IFERROR(__xludf.DUMMYFUNCTION("""COMPUTED_VALUE"""),"Nitish")</f>
        <v>Nitish</v>
      </c>
      <c r="AC19" s="3" t="str">
        <f>IFERROR(__xludf.DUMMYFUNCTION("""COMPUTED_VALUE"""),"Beaula")</f>
        <v>Beaula</v>
      </c>
      <c r="AD19" s="3"/>
      <c r="AE19" s="3"/>
      <c r="AF19" s="3"/>
    </row>
    <row r="20">
      <c r="A20" s="3"/>
      <c r="B20" s="3" t="str">
        <f>IFERROR(__xludf.DUMMYFUNCTION("""COMPUTED_VALUE"""),"01:10 PM - 01.55 PM")</f>
        <v>01:10 PM - 01.55 PM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3"/>
      <c r="B21" s="3" t="str">
        <f>IFERROR(__xludf.DUMMYFUNCTION("""COMPUTED_VALUE"""),"02.00 PM - 02.55 PM")</f>
        <v>02.00 PM - 02.55 PM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 t="str">
        <f>IFERROR(__xludf.DUMMYFUNCTION("""COMPUTED_VALUE"""),"Tuesday")</f>
        <v>Tuesday</v>
      </c>
      <c r="Z21" s="3" t="str">
        <f>IFERROR(__xludf.DUMMYFUNCTION("""COMPUTED_VALUE"""),"9:00 - 10:30")</f>
        <v>9:00 - 10:30</v>
      </c>
      <c r="AA21" s="3"/>
      <c r="AB21" s="3"/>
      <c r="AC21" s="3"/>
      <c r="AD21" s="3"/>
      <c r="AE21" s="3"/>
      <c r="AF21" s="3"/>
    </row>
    <row r="22">
      <c r="A22" s="3"/>
      <c r="B22" s="3" t="str">
        <f>IFERROR(__xludf.DUMMYFUNCTION("""COMPUTED_VALUE"""),"03.00 PM - 03.55 PM")</f>
        <v>03.00 PM - 03.55 PM</v>
      </c>
      <c r="C22" s="3" t="str">
        <f>IFERROR(__xludf.DUMMYFUNCTION("""COMPUTED_VALUE"""),"DAA Sec 8 Rupam Sah")</f>
        <v>DAA Sec 8 Rupam Sah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tr">
        <f>IFERROR(__xludf.DUMMYFUNCTION("""COMPUTED_VALUE"""),"10:40 - 12:10")</f>
        <v>10:40 - 12:10</v>
      </c>
      <c r="AA22" s="3"/>
      <c r="AB22" s="3"/>
      <c r="AC22" s="3"/>
      <c r="AD22" s="3"/>
      <c r="AE22" s="3"/>
      <c r="AF22" s="3"/>
    </row>
    <row r="23">
      <c r="A23" s="3"/>
      <c r="B23" s="3" t="str">
        <f>IFERROR(__xludf.DUMMYFUNCTION("""COMPUTED_VALUE"""),"04.00 PM - 04.55 PM")</f>
        <v>04.00 PM - 04.55 PM</v>
      </c>
      <c r="C23" s="3" t="str">
        <f>IFERROR(__xludf.DUMMYFUNCTION("""COMPUTED_VALUE"""),"DAA Sec 8 Rupam Sah")</f>
        <v>DAA Sec 8 Rupam Sah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tr">
        <f>IFERROR(__xludf.DUMMYFUNCTION("""COMPUTED_VALUE"""),"12:20 - 1:40")</f>
        <v>12:20 - 1:40</v>
      </c>
      <c r="AA23" s="3" t="str">
        <f>IFERROR(__xludf.DUMMYFUNCTION("""COMPUTED_VALUE"""),"Sec2")</f>
        <v>Sec2</v>
      </c>
      <c r="AB23" s="3" t="str">
        <f>IFERROR(__xludf.DUMMYFUNCTION("""COMPUTED_VALUE"""),"Tamilarasiarasi")</f>
        <v>Tamilarasiarasi</v>
      </c>
      <c r="AC23" s="3" t="str">
        <f>IFERROR(__xludf.DUMMYFUNCTION("""COMPUTED_VALUE"""),"Ashok")</f>
        <v>Ashok</v>
      </c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 t="str">
        <f>IFERROR(__xludf.DUMMYFUNCTION("""COMPUTED_VALUE"""),"Wednesday")</f>
        <v>Wednesday</v>
      </c>
      <c r="B25" s="3" t="str">
        <f>IFERROR(__xludf.DUMMYFUNCTION("""COMPUTED_VALUE"""),"09:15 AM -  10:10 AM")</f>
        <v>09:15 AM -  10:10 AM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tr">
        <f>IFERROR(__xludf.DUMMYFUNCTION("""COMPUTED_VALUE"""),"2:10 - 3:35")</f>
        <v>2:10 - 3:35</v>
      </c>
      <c r="AA25" s="3"/>
      <c r="AB25" s="3"/>
      <c r="AC25" s="3"/>
      <c r="AD25" s="3"/>
      <c r="AE25" s="3"/>
      <c r="AF25" s="3"/>
    </row>
    <row r="26">
      <c r="A26" s="3"/>
      <c r="B26" s="3" t="str">
        <f>IFERROR(__xludf.DUMMYFUNCTION("""COMPUTED_VALUE"""),"10:15 AM -  11:10 AM")</f>
        <v>10:15 AM -  11:10 AM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tr">
        <f>IFERROR(__xludf.DUMMYFUNCTION("""COMPUTED_VALUE"""),"3:50 - 5:15")</f>
        <v>3:50 - 5:15</v>
      </c>
      <c r="AA26" s="3" t="str">
        <f>IFERROR(__xludf.DUMMYFUNCTION("""COMPUTED_VALUE"""),"Sec1")</f>
        <v>Sec1</v>
      </c>
      <c r="AB26" s="3" t="str">
        <f>IFERROR(__xludf.DUMMYFUNCTION("""COMPUTED_VALUE"""),"Vivekanand")</f>
        <v>Vivekanand</v>
      </c>
      <c r="AC26" s="3"/>
      <c r="AD26" s="3" t="str">
        <f>IFERROR(__xludf.DUMMYFUNCTION("""COMPUTED_VALUE"""),"Ujjwal")</f>
        <v>Ujjwal</v>
      </c>
      <c r="AE26" s="3" t="str">
        <f>IFERROR(__xludf.DUMMYFUNCTION("""COMPUTED_VALUE"""),"Nitish")</f>
        <v>Nitish</v>
      </c>
      <c r="AF26" s="3" t="str">
        <f>IFERROR(__xludf.DUMMYFUNCTION("""COMPUTED_VALUE"""),"Arjun")</f>
        <v>Arjun</v>
      </c>
    </row>
    <row r="27">
      <c r="A27" s="3"/>
      <c r="B27" s="3" t="str">
        <f>IFERROR(__xludf.DUMMYFUNCTION("""COMPUTED_VALUE"""),"11.15 AM - 12.10 PM")</f>
        <v>11.15 AM - 12.10 PM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 t="str">
        <f>IFERROR(__xludf.DUMMYFUNCTION("""COMPUTED_VALUE"""),"12:15 PM -  12:55 PM")</f>
        <v>12:15 PM -  12:55 PM</v>
      </c>
      <c r="C28" s="3" t="str">
        <f>IFERROR(__xludf.DUMMYFUNCTION("""COMPUTED_VALUE"""),"LUNCH BREAK")</f>
        <v>LUNCH BREAK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str">
        <f>IFERROR(__xludf.DUMMYFUNCTION("""COMPUTED_VALUE"""),"Wednesday")</f>
        <v>Wednesday</v>
      </c>
      <c r="Z28" s="3" t="str">
        <f>IFERROR(__xludf.DUMMYFUNCTION("""COMPUTED_VALUE"""),"9:00 - 10:30")</f>
        <v>9:00 - 10:30</v>
      </c>
      <c r="AA28" s="3" t="str">
        <f>IFERROR(__xludf.DUMMYFUNCTION("""COMPUTED_VALUE"""),"Sec4")</f>
        <v>Sec4</v>
      </c>
      <c r="AB28" s="3" t="str">
        <f>IFERROR(__xludf.DUMMYFUNCTION("""COMPUTED_VALUE"""),"Arjun")</f>
        <v>Arjun</v>
      </c>
      <c r="AC28" s="3"/>
      <c r="AD28" s="3" t="str">
        <f>IFERROR(__xludf.DUMMYFUNCTION("""COMPUTED_VALUE"""),"Ashok")</f>
        <v>Ashok</v>
      </c>
      <c r="AE28" s="3" t="str">
        <f>IFERROR(__xludf.DUMMYFUNCTION("""COMPUTED_VALUE"""),"David")</f>
        <v>David</v>
      </c>
      <c r="AF28" s="3" t="str">
        <f>IFERROR(__xludf.DUMMYFUNCTION("""COMPUTED_VALUE"""),"Aravindh")</f>
        <v>Aravindh</v>
      </c>
    </row>
    <row r="29">
      <c r="A29" s="3"/>
      <c r="B29" s="3" t="str">
        <f>IFERROR(__xludf.DUMMYFUNCTION("""COMPUTED_VALUE"""),"12.15 PM - 01.10 PM")</f>
        <v>12.15 PM - 01.10 PM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tr">
        <f>IFERROR(__xludf.DUMMYFUNCTION("""COMPUTED_VALUE"""),"10:40 - 12:10")</f>
        <v>10:40 - 12:10</v>
      </c>
      <c r="AA29" s="3" t="str">
        <f>IFERROR(__xludf.DUMMYFUNCTION("""COMPUTED_VALUE"""),"Sec5")</f>
        <v>Sec5</v>
      </c>
      <c r="AB29" s="3" t="str">
        <f>IFERROR(__xludf.DUMMYFUNCTION("""COMPUTED_VALUE"""),"David")</f>
        <v>David</v>
      </c>
      <c r="AC29" s="3" t="str">
        <f>IFERROR(__xludf.DUMMYFUNCTION("""COMPUTED_VALUE"""),"Mariya")</f>
        <v>Mariya</v>
      </c>
      <c r="AD29" s="3"/>
      <c r="AE29" s="3"/>
      <c r="AF29" s="3"/>
    </row>
    <row r="30">
      <c r="A30" s="3"/>
      <c r="B30" s="3" t="str">
        <f>IFERROR(__xludf.DUMMYFUNCTION("""COMPUTED_VALUE"""),"01:15 PM - 01.55 PM")</f>
        <v>01:15 PM - 01.55 PM</v>
      </c>
      <c r="C30" s="3" t="str">
        <f>IFERROR(__xludf.DUMMYFUNCTION("""COMPUTED_VALUE"""),"LUNCH BREAK")</f>
        <v>LUNCH BREAK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tr">
        <f>IFERROR(__xludf.DUMMYFUNCTION("""COMPUTED_VALUE"""),"12:20 - 1:40")</f>
        <v>12:20 - 1:40</v>
      </c>
      <c r="AA30" s="3" t="str">
        <f>IFERROR(__xludf.DUMMYFUNCTION("""COMPUTED_VALUE"""),"Sec6")</f>
        <v>Sec6</v>
      </c>
      <c r="AB30" s="3" t="str">
        <f>IFERROR(__xludf.DUMMYFUNCTION("""COMPUTED_VALUE"""),"Vishal")</f>
        <v>Vishal</v>
      </c>
      <c r="AC30" s="3"/>
      <c r="AD30" s="3" t="str">
        <f>IFERROR(__xludf.DUMMYFUNCTION("""COMPUTED_VALUE"""),"Tamilarasiarasi")</f>
        <v>Tamilarasiarasi</v>
      </c>
      <c r="AE30" s="3" t="str">
        <f>IFERROR(__xludf.DUMMYFUNCTION("""COMPUTED_VALUE"""),"Beaula")</f>
        <v>Beaula</v>
      </c>
      <c r="AF30" s="3" t="str">
        <f>IFERROR(__xludf.DUMMYFUNCTION("""COMPUTED_VALUE"""),"Mariya")</f>
        <v>Mariya</v>
      </c>
    </row>
    <row r="31">
      <c r="A31" s="3"/>
      <c r="B31" s="3" t="str">
        <f>IFERROR(__xludf.DUMMYFUNCTION("""COMPUTED_VALUE"""),"01:10 PM - 01.55 PM")</f>
        <v>01:10 PM - 01.55 PM</v>
      </c>
      <c r="C31" s="3" t="str">
        <f>IFERROR(__xludf.DUMMYFUNCTION("""COMPUTED_VALUE"""),"DAA Sec1 david")</f>
        <v>DAA Sec1 david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tr">
        <f>IFERROR(__xludf.DUMMYFUNCTION("""COMPUTED_VALUE"""),"2:10 - 3:35")</f>
        <v>2:10 - 3:35</v>
      </c>
      <c r="AA31" s="3"/>
      <c r="AB31" s="3"/>
      <c r="AC31" s="3"/>
      <c r="AD31" s="3"/>
      <c r="AE31" s="3"/>
      <c r="AF31" s="3"/>
    </row>
    <row r="32">
      <c r="A32" s="3"/>
      <c r="B32" s="3" t="str">
        <f>IFERROR(__xludf.DUMMYFUNCTION("""COMPUTED_VALUE"""),"02.00 PM - 02.55 PM")</f>
        <v>02.00 PM - 02.55 PM</v>
      </c>
      <c r="C32" s="3" t="str">
        <f>IFERROR(__xludf.DUMMYFUNCTION("""COMPUTED_VALUE"""),"DAA Sec1 david")</f>
        <v>DAA Sec1 david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tr">
        <f>IFERROR(__xludf.DUMMYFUNCTION("""COMPUTED_VALUE"""),"3:50 - 5:15")</f>
        <v>3:50 - 5:15</v>
      </c>
      <c r="AA32" s="3"/>
      <c r="AB32" s="3"/>
      <c r="AC32" s="3"/>
      <c r="AD32" s="3"/>
      <c r="AE32" s="3"/>
      <c r="AF32" s="3"/>
    </row>
    <row r="33">
      <c r="A33" s="3"/>
      <c r="B33" s="3" t="str">
        <f>IFERROR(__xludf.DUMMYFUNCTION("""COMPUTED_VALUE"""),"03.00 PM - 03.55 PM")</f>
        <v>03.00 PM - 03.55 PM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 t="str">
        <f>IFERROR(__xludf.DUMMYFUNCTION("""COMPUTED_VALUE"""),"04.00 PM - 04.55 PM")</f>
        <v>04.00 PM - 04.55 PM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str">
        <f>IFERROR(__xludf.DUMMYFUNCTION("""COMPUTED_VALUE"""),"Thursday")</f>
        <v>Thursday</v>
      </c>
      <c r="Z34" s="3" t="str">
        <f>IFERROR(__xludf.DUMMYFUNCTION("""COMPUTED_VALUE"""),"9:00 - 10:30")</f>
        <v>9:00 - 10:30</v>
      </c>
      <c r="AA34" s="3" t="str">
        <f>IFERROR(__xludf.DUMMYFUNCTION("""COMPUTED_VALUE"""),"Sec7")</f>
        <v>Sec7</v>
      </c>
      <c r="AB34" s="3" t="str">
        <f>IFERROR(__xludf.DUMMYFUNCTION("""COMPUTED_VALUE"""),"Aravindh")</f>
        <v>Aravindh</v>
      </c>
      <c r="AC34" s="3" t="str">
        <f>IFERROR(__xludf.DUMMYFUNCTION("""COMPUTED_VALUE"""),"Angel")</f>
        <v>Angel</v>
      </c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 t="str">
        <f>IFERROR(__xludf.DUMMYFUNCTION("""COMPUTED_VALUE"""),"Thursday")</f>
        <v>Thursday</v>
      </c>
      <c r="B36" s="3" t="str">
        <f>IFERROR(__xludf.DUMMYFUNCTION("""COMPUTED_VALUE"""),"09:15 AM -  10:10 AM")</f>
        <v>09:15 AM -  10:10 AM</v>
      </c>
      <c r="C36" s="3" t="str">
        <f>IFERROR(__xludf.DUMMYFUNCTION("""COMPUTED_VALUE"""),"DAA Sec6 Dr.Angel")</f>
        <v>DAA Sec6 Dr.Angel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tr">
        <f>IFERROR(__xludf.DUMMYFUNCTION("""COMPUTED_VALUE"""),"10:40 - 12:10")</f>
        <v>10:40 - 12:10</v>
      </c>
      <c r="AA36" s="3" t="str">
        <f>IFERROR(__xludf.DUMMYFUNCTION("""COMPUTED_VALUE"""),"Sec4")</f>
        <v>Sec4</v>
      </c>
      <c r="AB36" s="3" t="str">
        <f>IFERROR(__xludf.DUMMYFUNCTION("""COMPUTED_VALUE"""),"Arjun")</f>
        <v>Arjun</v>
      </c>
      <c r="AC36" s="3"/>
      <c r="AD36" s="3" t="str">
        <f>IFERROR(__xludf.DUMMYFUNCTION("""COMPUTED_VALUE"""),"Ashok")</f>
        <v>Ashok</v>
      </c>
      <c r="AE36" s="3" t="str">
        <f>IFERROR(__xludf.DUMMYFUNCTION("""COMPUTED_VALUE"""),"David")</f>
        <v>David</v>
      </c>
      <c r="AF36" s="3" t="str">
        <f>IFERROR(__xludf.DUMMYFUNCTION("""COMPUTED_VALUE"""),"Aravindh")</f>
        <v>Aravindh</v>
      </c>
    </row>
    <row r="37">
      <c r="A37" s="3"/>
      <c r="B37" s="3" t="str">
        <f>IFERROR(__xludf.DUMMYFUNCTION("""COMPUTED_VALUE"""),"10:15 AM -  11:10 AM")</f>
        <v>10:15 AM -  11:10 AM</v>
      </c>
      <c r="C37" s="3" t="str">
        <f>IFERROR(__xludf.DUMMYFUNCTION("""COMPUTED_VALUE"""),"DAA Sec6 Dr.Angel")</f>
        <v>DAA Sec6 Dr.Angel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tr">
        <f>IFERROR(__xludf.DUMMYFUNCTION("""COMPUTED_VALUE"""),"12:20 - 1:40")</f>
        <v>12:20 - 1:40</v>
      </c>
      <c r="AA37" s="3" t="str">
        <f>IFERROR(__xludf.DUMMYFUNCTION("""COMPUTED_VALUE"""),"Sec3")</f>
        <v>Sec3</v>
      </c>
      <c r="AB37" s="3" t="str">
        <f>IFERROR(__xludf.DUMMYFUNCTION("""COMPUTED_VALUE"""),"Nitish")</f>
        <v>Nitish</v>
      </c>
      <c r="AC37" s="3" t="str">
        <f>IFERROR(__xludf.DUMMYFUNCTION("""COMPUTED_VALUE"""),"Beaula")</f>
        <v>Beaula</v>
      </c>
      <c r="AD37" s="3"/>
      <c r="AE37" s="3"/>
      <c r="AF37" s="3"/>
    </row>
    <row r="38">
      <c r="A38" s="3"/>
      <c r="B38" s="3" t="str">
        <f>IFERROR(__xludf.DUMMYFUNCTION("""COMPUTED_VALUE"""),"11.15 AM - 12.10 PM")</f>
        <v>11.15 AM - 12.10 PM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tr">
        <f>IFERROR(__xludf.DUMMYFUNCTION("""COMPUTED_VALUE"""),"2:10 - 3:35")</f>
        <v>2:10 - 3:35</v>
      </c>
      <c r="AA38" s="3"/>
      <c r="AB38" s="3"/>
      <c r="AC38" s="3"/>
      <c r="AD38" s="3"/>
      <c r="AE38" s="3"/>
      <c r="AF38" s="3"/>
    </row>
    <row r="39">
      <c r="A39" s="3"/>
      <c r="B39" s="3" t="str">
        <f>IFERROR(__xludf.DUMMYFUNCTION("""COMPUTED_VALUE"""),"12:15 PM -  12:55 PM")</f>
        <v>12:15 PM -  12:55 PM</v>
      </c>
      <c r="C39" s="3" t="str">
        <f>IFERROR(__xludf.DUMMYFUNCTION("""COMPUTED_VALUE"""),"LUNCH BREAK")</f>
        <v>LUNCH BREAK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tr">
        <f>IFERROR(__xludf.DUMMYFUNCTION("""COMPUTED_VALUE"""),"3:50 - 5:15")</f>
        <v>3:50 - 5:15</v>
      </c>
      <c r="AA39" s="3" t="str">
        <f>IFERROR(__xludf.DUMMYFUNCTION("""COMPUTED_VALUE"""),"Sec8")</f>
        <v>Sec8</v>
      </c>
      <c r="AB39" s="3" t="str">
        <f>IFERROR(__xludf.DUMMYFUNCTION("""COMPUTED_VALUE"""),"Ujjwal")</f>
        <v>Ujjwal</v>
      </c>
      <c r="AC39" s="3"/>
      <c r="AD39" s="3" t="str">
        <f>IFERROR(__xludf.DUMMYFUNCTION("""COMPUTED_VALUE"""),"Vivekanand")</f>
        <v>Vivekanand</v>
      </c>
      <c r="AE39" s="3" t="str">
        <f>IFERROR(__xludf.DUMMYFUNCTION("""COMPUTED_VALUE"""),"Vishal")</f>
        <v>Vishal</v>
      </c>
      <c r="AF39" s="3" t="str">
        <f>IFERROR(__xludf.DUMMYFUNCTION("""COMPUTED_VALUE"""),"Angel")</f>
        <v>Angel</v>
      </c>
    </row>
    <row r="40">
      <c r="A40" s="3"/>
      <c r="B40" s="3" t="str">
        <f>IFERROR(__xludf.DUMMYFUNCTION("""COMPUTED_VALUE"""),"12.15 PM - 01.10 PM")</f>
        <v>12.15 PM - 01.10 PM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 t="str">
        <f>IFERROR(__xludf.DUMMYFUNCTION("""COMPUTED_VALUE"""),"01:15 PM - 01.55 PM")</f>
        <v>01:15 PM - 01.55 PM</v>
      </c>
      <c r="C41" s="3" t="str">
        <f>IFERROR(__xludf.DUMMYFUNCTION("""COMPUTED_VALUE"""),"LUNCH BREAK")</f>
        <v>LUNCH BREAK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 t="str">
        <f>IFERROR(__xludf.DUMMYFUNCTION("""COMPUTED_VALUE"""),"Friday")</f>
        <v>Friday</v>
      </c>
      <c r="Z41" s="3" t="str">
        <f>IFERROR(__xludf.DUMMYFUNCTION("""COMPUTED_VALUE"""),"9:00 - 10:30")</f>
        <v>9:00 - 10:30</v>
      </c>
      <c r="AA41" s="3" t="str">
        <f>IFERROR(__xludf.DUMMYFUNCTION("""COMPUTED_VALUE"""),"Sec8")</f>
        <v>Sec8</v>
      </c>
      <c r="AB41" s="3" t="str">
        <f>IFERROR(__xludf.DUMMYFUNCTION("""COMPUTED_VALUE"""),"Ujjwal")</f>
        <v>Ujjwal</v>
      </c>
      <c r="AC41" s="3"/>
      <c r="AD41" s="3" t="str">
        <f>IFERROR(__xludf.DUMMYFUNCTION("""COMPUTED_VALUE"""),"Vivekanand")</f>
        <v>Vivekanand</v>
      </c>
      <c r="AE41" s="3" t="str">
        <f>IFERROR(__xludf.DUMMYFUNCTION("""COMPUTED_VALUE"""),"Vishal")</f>
        <v>Vishal</v>
      </c>
      <c r="AF41" s="3" t="str">
        <f>IFERROR(__xludf.DUMMYFUNCTION("""COMPUTED_VALUE"""),"Angel")</f>
        <v>Angel</v>
      </c>
    </row>
    <row r="42">
      <c r="A42" s="3"/>
      <c r="B42" s="3" t="str">
        <f>IFERROR(__xludf.DUMMYFUNCTION("""COMPUTED_VALUE"""),"01:10 PM - 01.55 PM")</f>
        <v>01:10 PM - 01.55 PM</v>
      </c>
      <c r="C42" s="3" t="str">
        <f>IFERROR(__xludf.DUMMYFUNCTION("""COMPUTED_VALUE"""),"DAA Sec5 Joydeep")</f>
        <v>DAA Sec5 Joydeep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tr">
        <f>IFERROR(__xludf.DUMMYFUNCTION("""COMPUTED_VALUE"""),"10:40 - 12:10")</f>
        <v>10:40 - 12:10</v>
      </c>
      <c r="AA42" s="3" t="str">
        <f>IFERROR(__xludf.DUMMYFUNCTION("""COMPUTED_VALUE"""),"Sec2")</f>
        <v>Sec2</v>
      </c>
      <c r="AB42" s="3" t="str">
        <f>IFERROR(__xludf.DUMMYFUNCTION("""COMPUTED_VALUE"""),"Tamilarasiarasi")</f>
        <v>Tamilarasiarasi</v>
      </c>
      <c r="AC42" s="3" t="str">
        <f>IFERROR(__xludf.DUMMYFUNCTION("""COMPUTED_VALUE"""),"Ashok")</f>
        <v>Ashok</v>
      </c>
      <c r="AD42" s="3"/>
      <c r="AE42" s="3"/>
      <c r="AF42" s="3"/>
    </row>
    <row r="43">
      <c r="A43" s="3"/>
      <c r="B43" s="3" t="str">
        <f>IFERROR(__xludf.DUMMYFUNCTION("""COMPUTED_VALUE"""),"02.00 PM - 02.55 PM")</f>
        <v>02.00 PM - 02.55 PM</v>
      </c>
      <c r="C43" s="3" t="str">
        <f>IFERROR(__xludf.DUMMYFUNCTION("""COMPUTED_VALUE"""),"DAA Sec5 Joydeep")</f>
        <v>DAA Sec5 Joydeep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tr">
        <f>IFERROR(__xludf.DUMMYFUNCTION("""COMPUTED_VALUE"""),"12:20 - 1:40")</f>
        <v>12:20 - 1:40</v>
      </c>
      <c r="AA43" s="3"/>
      <c r="AB43" s="3"/>
      <c r="AC43" s="3"/>
      <c r="AD43" s="3"/>
      <c r="AE43" s="3"/>
      <c r="AF43" s="3"/>
    </row>
    <row r="44">
      <c r="A44" s="3"/>
      <c r="B44" s="3" t="str">
        <f>IFERROR(__xludf.DUMMYFUNCTION("""COMPUTED_VALUE"""),"03.00 PM - 03.55 PM")</f>
        <v>03.00 PM - 03.55 PM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tr">
        <f>IFERROR(__xludf.DUMMYFUNCTION("""COMPUTED_VALUE"""),"2:10 - 3:35")</f>
        <v>2:10 - 3:35</v>
      </c>
      <c r="AA44" s="3" t="str">
        <f>IFERROR(__xludf.DUMMYFUNCTION("""COMPUTED_VALUE"""),"Sec1")</f>
        <v>Sec1</v>
      </c>
      <c r="AB44" s="3" t="str">
        <f>IFERROR(__xludf.DUMMYFUNCTION("""COMPUTED_VALUE"""),"Vivekanand")</f>
        <v>Vivekanand</v>
      </c>
      <c r="AC44" s="3"/>
      <c r="AD44" s="3" t="str">
        <f>IFERROR(__xludf.DUMMYFUNCTION("""COMPUTED_VALUE"""),"Ujjwal")</f>
        <v>Ujjwal</v>
      </c>
      <c r="AE44" s="3" t="str">
        <f>IFERROR(__xludf.DUMMYFUNCTION("""COMPUTED_VALUE"""),"Nitish")</f>
        <v>Nitish</v>
      </c>
      <c r="AF44" s="3" t="str">
        <f>IFERROR(__xludf.DUMMYFUNCTION("""COMPUTED_VALUE"""),"Arjun")</f>
        <v>Arjun</v>
      </c>
    </row>
    <row r="45">
      <c r="A45" s="3"/>
      <c r="B45" s="3" t="str">
        <f>IFERROR(__xludf.DUMMYFUNCTION("""COMPUTED_VALUE"""),"04.00 PM - 04.55 PM")</f>
        <v>04.00 PM - 04.55 PM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tr">
        <f>IFERROR(__xludf.DUMMYFUNCTION("""COMPUTED_VALUE"""),"3:50 - 5:15")</f>
        <v>3:50 - 5:15</v>
      </c>
      <c r="AA45" s="3" t="str">
        <f>IFERROR(__xludf.DUMMYFUNCTION("""COMPUTED_VALUE"""),"Sec6")</f>
        <v>Sec6</v>
      </c>
      <c r="AB45" s="3" t="str">
        <f>IFERROR(__xludf.DUMMYFUNCTION("""COMPUTED_VALUE"""),"Vishal")</f>
        <v>Vishal</v>
      </c>
      <c r="AC45" s="3"/>
      <c r="AD45" s="3" t="str">
        <f>IFERROR(__xludf.DUMMYFUNCTION("""COMPUTED_VALUE"""),"Tamilarasiarasi")</f>
        <v>Tamilarasiarasi</v>
      </c>
      <c r="AE45" s="3" t="str">
        <f>IFERROR(__xludf.DUMMYFUNCTION("""COMPUTED_VALUE"""),"Beaula")</f>
        <v>Beaula</v>
      </c>
      <c r="AF45" s="3" t="str">
        <f>IFERROR(__xludf.DUMMYFUNCTION("""COMPUTED_VALUE"""),"Mariya")</f>
        <v>Mariya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 t="str">
        <f>IFERROR(__xludf.DUMMYFUNCTION("""COMPUTED_VALUE"""),"Friday")</f>
        <v>Friday</v>
      </c>
      <c r="B47" s="3" t="str">
        <f>IFERROR(__xludf.DUMMYFUNCTION("""COMPUTED_VALUE"""),"09:15 AM -  10:10 AM")</f>
        <v>09:15 AM -  10:10 AM</v>
      </c>
      <c r="C47" s="3" t="str">
        <f>IFERROR(__xludf.DUMMYFUNCTION("""COMPUTED_VALUE"""),"DAA Sec 7 Dr.Angel")</f>
        <v>DAA Sec 7 Dr.Angel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 t="str">
        <f>IFERROR(__xludf.DUMMYFUNCTION("""COMPUTED_VALUE"""),"10:15 AM -  11:10 AM")</f>
        <v>10:15 AM -  11:10 AM</v>
      </c>
      <c r="C48" s="3" t="str">
        <f>IFERROR(__xludf.DUMMYFUNCTION("""COMPUTED_VALUE"""),"DAA Sec 7 Dr.Angel")</f>
        <v>DAA Sec 7 Dr.Angel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 t="str">
        <f>IFERROR(__xludf.DUMMYFUNCTION("""COMPUTED_VALUE"""),"11.15 AM - 12.10 PM")</f>
        <v>11.15 AM - 12.10 PM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 t="str">
        <f>IFERROR(__xludf.DUMMYFUNCTION("""COMPUTED_VALUE"""),"12:15 PM -  12:55 PM")</f>
        <v>12:15 PM -  12:55 PM</v>
      </c>
      <c r="C50" s="3" t="str">
        <f>IFERROR(__xludf.DUMMYFUNCTION("""COMPUTED_VALUE"""),"LUNCH BREAK")</f>
        <v>LUNCH BREAK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 t="str">
        <f>IFERROR(__xludf.DUMMYFUNCTION("""COMPUTED_VALUE"""),"12.15 PM - 01.10 PM")</f>
        <v>12.15 PM - 01.10 PM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 t="str">
        <f>IFERROR(__xludf.DUMMYFUNCTION("""COMPUTED_VALUE"""),"01:15 PM - 01.55 PM")</f>
        <v>01:15 PM - 01.55 PM</v>
      </c>
      <c r="C52" s="3" t="str">
        <f>IFERROR(__xludf.DUMMYFUNCTION("""COMPUTED_VALUE"""),"LUNCH BREAK")</f>
        <v>LUNCH BREAK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 t="str">
        <f>IFERROR(__xludf.DUMMYFUNCTION("""COMPUTED_VALUE"""),"01:10 PM - 01.55 PM")</f>
        <v>01:10 PM - 01.55 PM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 t="str">
        <f>IFERROR(__xludf.DUMMYFUNCTION("""COMPUTED_VALUE"""),"02.00 PM - 02.55 PM")</f>
        <v>02.00 PM - 02.55 PM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 t="str">
        <f>IFERROR(__xludf.DUMMYFUNCTION("""COMPUTED_VALUE"""),"03.00 PM - 03.55 PM")</f>
        <v>03.00 PM - 03.55 PM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 t="str">
        <f>IFERROR(__xludf.DUMMYFUNCTION("""COMPUTED_VALUE"""),"04.00 PM - 04.55 PM")</f>
        <v>04.00 PM - 04.55 PM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tr">
        <f>IFERROR(__xludf.DUMMYFUNCTION("IMPORTRANGE(""1M3jl6_D3EBy-5b1xjv0RLgGaEMymcJAVr9RNnsxkVp0"",""'FDE Lab (CDS227) Schedule'!A:ZZ"")"),"Foundations of Data Engineering Lab (CDS227) Schedule")</f>
        <v>Foundations of Data Engineering Lab (CDS227) Schedule</v>
      </c>
      <c r="B1" s="3"/>
      <c r="C1" s="3"/>
      <c r="D1" s="3" t="str">
        <f>IFERROR(__xludf.DUMMYFUNCTION("""COMPUTED_VALUE"""),"  ")</f>
        <v>  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3" t="str">
        <f>IFERROR(__xludf.DUMMYFUNCTION("""COMPUTED_VALUE"""),"Day")</f>
        <v>Day</v>
      </c>
      <c r="B2" s="3" t="str">
        <f>IFERROR(__xludf.DUMMYFUNCTION("""COMPUTED_VALUE"""),"Time")</f>
        <v>Time</v>
      </c>
      <c r="C2" s="3" t="str">
        <f>IFERROR(__xludf.DUMMYFUNCTION("""COMPUTED_VALUE"""),"Section")</f>
        <v>Section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tr">
        <f>IFERROR(__xludf.DUMMYFUNCTION("""COMPUTED_VALUE"""),"DAA Lab")</f>
        <v>DAA Lab</v>
      </c>
      <c r="Z2" s="3"/>
      <c r="AA2" s="3"/>
      <c r="AB2" s="3"/>
      <c r="AC2" s="3"/>
      <c r="AD2" s="3"/>
      <c r="AE2" s="3"/>
      <c r="AF2" s="3"/>
    </row>
    <row r="3">
      <c r="A3" s="3" t="str">
        <f>IFERROR(__xludf.DUMMYFUNCTION("""COMPUTED_VALUE"""),"Monday")</f>
        <v>Monday</v>
      </c>
      <c r="B3" s="3" t="str">
        <f>IFERROR(__xludf.DUMMYFUNCTION("""COMPUTED_VALUE"""),"09:15 AM -  10:10 AM")</f>
        <v>09:15 AM -  10:10 AM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 t="str">
        <f>IFERROR(__xludf.DUMMYFUNCTION("""COMPUTED_VALUE"""),"Section")</f>
        <v>Section</v>
      </c>
      <c r="Z3" s="3" t="str">
        <f>IFERROR(__xludf.DUMMYFUNCTION("""COMPUTED_VALUE"""),"Faculty")</f>
        <v>Faculty</v>
      </c>
      <c r="AA3" s="3"/>
      <c r="AB3" s="3"/>
      <c r="AC3" s="3"/>
      <c r="AD3" s="3"/>
      <c r="AE3" s="3"/>
      <c r="AF3" s="3"/>
    </row>
    <row r="4">
      <c r="A4" s="3"/>
      <c r="B4" s="3" t="str">
        <f>IFERROR(__xludf.DUMMYFUNCTION("""COMPUTED_VALUE"""),"10:15 AM -  11:10 AM")</f>
        <v>10:15 AM -  11:10 AM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tr">
        <f>IFERROR(__xludf.DUMMYFUNCTION("""COMPUTED_VALUE"""),"DAA Lab Sec1")</f>
        <v>DAA Lab Sec1</v>
      </c>
      <c r="Z4" s="3"/>
      <c r="AA4" s="3"/>
      <c r="AB4" s="3"/>
      <c r="AC4" s="3"/>
      <c r="AD4" s="3"/>
      <c r="AE4" s="3"/>
      <c r="AF4" s="3"/>
    </row>
    <row r="5">
      <c r="A5" s="3"/>
      <c r="B5" s="3" t="str">
        <f>IFERROR(__xludf.DUMMYFUNCTION("""COMPUTED_VALUE"""),"11.15 AM - 12.10 PM")</f>
        <v>11.15 AM - 12.10 PM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 t="str">
        <f>IFERROR(__xludf.DUMMYFUNCTION("""COMPUTED_VALUE"""),"DAA Lab Sec2")</f>
        <v>DAA Lab Sec2</v>
      </c>
      <c r="Z5" s="3"/>
      <c r="AA5" s="3"/>
      <c r="AB5" s="3"/>
      <c r="AC5" s="3"/>
      <c r="AD5" s="3"/>
      <c r="AE5" s="3"/>
      <c r="AF5" s="3"/>
    </row>
    <row r="6">
      <c r="A6" s="3"/>
      <c r="B6" s="3" t="str">
        <f>IFERROR(__xludf.DUMMYFUNCTION("""COMPUTED_VALUE"""),"12:15 PM -  12:55 PM")</f>
        <v>12:15 PM -  12:55 PM</v>
      </c>
      <c r="C6" s="3" t="str">
        <f>IFERROR(__xludf.DUMMYFUNCTION("""COMPUTED_VALUE"""),"LUNCH BREAK")</f>
        <v>LUNCH BREAK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 t="str">
        <f>IFERROR(__xludf.DUMMYFUNCTION("""COMPUTED_VALUE"""),"DAA Lab Sec3")</f>
        <v>DAA Lab Sec3</v>
      </c>
      <c r="Z6" s="3"/>
      <c r="AA6" s="3"/>
      <c r="AB6" s="3"/>
      <c r="AC6" s="3"/>
      <c r="AD6" s="3"/>
      <c r="AE6" s="3"/>
      <c r="AF6" s="3"/>
    </row>
    <row r="7">
      <c r="A7" s="3"/>
      <c r="B7" s="3" t="str">
        <f>IFERROR(__xludf.DUMMYFUNCTION("""COMPUTED_VALUE"""),"12.15 PM - 01.10 PM")</f>
        <v>12.15 PM - 01.10 PM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3"/>
      <c r="B8" s="3" t="str">
        <f>IFERROR(__xludf.DUMMYFUNCTION("""COMPUTED_VALUE"""),"01:15 PM - 01.55 PM")</f>
        <v>01:15 PM - 01.55 PM</v>
      </c>
      <c r="C8" s="3" t="str">
        <f>IFERROR(__xludf.DUMMYFUNCTION("""COMPUTED_VALUE"""),"LUNCH BREAK")</f>
        <v>LUNCH BREAK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 t="str">
        <f>IFERROR(__xludf.DUMMYFUNCTION("""COMPUTED_VALUE"""),"DAA Lab Sec4")</f>
        <v>DAA Lab Sec4</v>
      </c>
      <c r="Z8" s="3"/>
      <c r="AA8" s="3"/>
      <c r="AB8" s="3"/>
      <c r="AC8" s="3"/>
      <c r="AD8" s="3"/>
      <c r="AE8" s="3"/>
      <c r="AF8" s="3"/>
    </row>
    <row r="9">
      <c r="A9" s="3"/>
      <c r="B9" s="3" t="str">
        <f>IFERROR(__xludf.DUMMYFUNCTION("""COMPUTED_VALUE"""),"01:00 PM - 01.55 PM")</f>
        <v>01:00 PM - 01.55 PM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 t="str">
        <f>IFERROR(__xludf.DUMMYFUNCTION("""COMPUTED_VALUE"""),"DAA Lab Sec5")</f>
        <v>DAA Lab Sec5</v>
      </c>
      <c r="Z9" s="3"/>
      <c r="AA9" s="3"/>
      <c r="AB9" s="3"/>
      <c r="AC9" s="3"/>
      <c r="AD9" s="3"/>
      <c r="AE9" s="3"/>
      <c r="AF9" s="3"/>
    </row>
    <row r="10">
      <c r="A10" s="3"/>
      <c r="B10" s="3" t="str">
        <f>IFERROR(__xludf.DUMMYFUNCTION("""COMPUTED_VALUE"""),"02.00 PM - 02.55 PM")</f>
        <v>02.00 PM - 02.55 PM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 t="str">
        <f>IFERROR(__xludf.DUMMYFUNCTION("""COMPUTED_VALUE"""),"DAA Lab Sec6")</f>
        <v>DAA Lab Sec6</v>
      </c>
      <c r="Z10" s="3"/>
      <c r="AA10" s="3"/>
      <c r="AB10" s="3"/>
      <c r="AC10" s="3"/>
      <c r="AD10" s="3"/>
      <c r="AE10" s="3"/>
      <c r="AF10" s="3"/>
    </row>
    <row r="11">
      <c r="A11" s="3"/>
      <c r="B11" s="3" t="str">
        <f>IFERROR(__xludf.DUMMYFUNCTION("""COMPUTED_VALUE"""),"03.00 PM - 03.55 PM")</f>
        <v>03.00 PM - 03.55 PM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 t="str">
        <f>IFERROR(__xludf.DUMMYFUNCTION("""COMPUTED_VALUE"""),"DAA Lab Sec7")</f>
        <v>DAA Lab Sec7</v>
      </c>
      <c r="Z11" s="3"/>
      <c r="AA11" s="3"/>
      <c r="AB11" s="3"/>
      <c r="AC11" s="3"/>
      <c r="AD11" s="3"/>
      <c r="AE11" s="3"/>
      <c r="AF11" s="3"/>
    </row>
    <row r="12">
      <c r="A12" s="3"/>
      <c r="B12" s="3" t="str">
        <f>IFERROR(__xludf.DUMMYFUNCTION("""COMPUTED_VALUE"""),"04.00 PM - 04.55 PM")</f>
        <v>04.00 PM - 04.55 PM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 t="str">
        <f>IFERROR(__xludf.DUMMYFUNCTION("""COMPUTED_VALUE"""),"DAA Lab Sec8")</f>
        <v>DAA Lab Sec8</v>
      </c>
      <c r="Z12" s="3"/>
      <c r="AA12" s="3"/>
      <c r="AB12" s="3"/>
      <c r="AC12" s="3"/>
      <c r="AD12" s="3"/>
      <c r="AE12" s="3"/>
      <c r="AF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3" t="str">
        <f>IFERROR(__xludf.DUMMYFUNCTION("""COMPUTED_VALUE"""),"Tuesday")</f>
        <v>Tuesday</v>
      </c>
      <c r="B14" s="3" t="str">
        <f>IFERROR(__xludf.DUMMYFUNCTION("""COMPUTED_VALUE"""),"09:15 AM -  10:10 AM")</f>
        <v>09:15 AM -  10:10 AM</v>
      </c>
      <c r="C14" s="3" t="str">
        <f>IFERROR(__xludf.DUMMYFUNCTION("""COMPUTED_VALUE"""),"FDE Sec3 Dr.Mariya")</f>
        <v>FDE Sec3 Dr.Mariya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3"/>
      <c r="B15" s="3" t="str">
        <f>IFERROR(__xludf.DUMMYFUNCTION("""COMPUTED_VALUE"""),"10:15 AM -  11:10 AM")</f>
        <v>10:15 AM -  11:10 AM</v>
      </c>
      <c r="C15" s="3" t="str">
        <f>IFERROR(__xludf.DUMMYFUNCTION("""COMPUTED_VALUE"""),"FDE Sec3 Dr.Mariya")</f>
        <v>FDE Sec3 Dr.Mariya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str">
        <f>IFERROR(__xludf.DUMMYFUNCTION("""COMPUTED_VALUE"""),"Day")</f>
        <v>Day</v>
      </c>
      <c r="Z15" s="3" t="str">
        <f>IFERROR(__xludf.DUMMYFUNCTION("""COMPUTED_VALUE"""),"Time")</f>
        <v>Time</v>
      </c>
      <c r="AA15" s="3" t="str">
        <f>IFERROR(__xludf.DUMMYFUNCTION("""COMPUTED_VALUE"""),"Section")</f>
        <v>Section</v>
      </c>
      <c r="AB15" s="3" t="str">
        <f>IFERROR(__xludf.DUMMYFUNCTION("""COMPUTED_VALUE"""),"Lab In charge
Faculty-1")</f>
        <v>Lab In charge
Faculty-1</v>
      </c>
      <c r="AC15" s="3" t="str">
        <f>IFERROR(__xludf.DUMMYFUNCTION("""COMPUTED_VALUE"""),"Lab
Faculty-2")</f>
        <v>Lab
Faculty-2</v>
      </c>
      <c r="AD15" s="3" t="str">
        <f>IFERROR(__xludf.DUMMYFUNCTION("""COMPUTED_VALUE"""),"Faculty-2 | Slot-1 
Feb 16 to Mar 13")</f>
        <v>Faculty-2 | Slot-1 
Feb 16 to Mar 13</v>
      </c>
      <c r="AE15" s="3"/>
      <c r="AF15" s="3" t="str">
        <f>IFERROR(__xludf.DUMMYFUNCTION("""COMPUTED_VALUE"""),"Faculty-2 | Slot-3 
Apr 13 to May 08")</f>
        <v>Faculty-2 | Slot-3 
Apr 13 to May 08</v>
      </c>
    </row>
    <row r="16">
      <c r="A16" s="3"/>
      <c r="B16" s="3" t="str">
        <f>IFERROR(__xludf.DUMMYFUNCTION("""COMPUTED_VALUE"""),"11.15 AM - 12.10 PM")</f>
        <v>11.15 AM - 12.10 PM</v>
      </c>
      <c r="C16" s="3" t="str">
        <f>IFERROR(__xludf.DUMMYFUNCTION("""COMPUTED_VALUE"""),"FDE Sec 1 Arjun")</f>
        <v>FDE Sec 1 Arjun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 t="str">
        <f>IFERROR(__xludf.DUMMYFUNCTION("""COMPUTED_VALUE"""),"Monday")</f>
        <v>Monday</v>
      </c>
      <c r="Z16" s="3" t="str">
        <f>IFERROR(__xludf.DUMMYFUNCTION("""COMPUTED_VALUE"""),"9:00 - 10:30")</f>
        <v>9:00 - 10:30</v>
      </c>
      <c r="AA16" s="3"/>
      <c r="AB16" s="3"/>
      <c r="AC16" s="3"/>
      <c r="AD16" s="3"/>
      <c r="AE16" s="3"/>
      <c r="AF16" s="3"/>
    </row>
    <row r="17">
      <c r="A17" s="3"/>
      <c r="B17" s="3" t="str">
        <f>IFERROR(__xludf.DUMMYFUNCTION("""COMPUTED_VALUE"""),"12:15 PM -  12:55 PM")</f>
        <v>12:15 PM -  12:55 PM</v>
      </c>
      <c r="C17" s="3" t="str">
        <f>IFERROR(__xludf.DUMMYFUNCTION("""COMPUTED_VALUE"""),"LUNCH BREAK")</f>
        <v>LUNCH BREAK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tr">
        <f>IFERROR(__xludf.DUMMYFUNCTION("""COMPUTED_VALUE"""),"10:40 - 12:10")</f>
        <v>10:40 - 12:10</v>
      </c>
      <c r="AA17" s="3" t="str">
        <f>IFERROR(__xludf.DUMMYFUNCTION("""COMPUTED_VALUE"""),"Sec7")</f>
        <v>Sec7</v>
      </c>
      <c r="AB17" s="3" t="str">
        <f>IFERROR(__xludf.DUMMYFUNCTION("""COMPUTED_VALUE"""),"Aravindh")</f>
        <v>Aravindh</v>
      </c>
      <c r="AC17" s="3" t="str">
        <f>IFERROR(__xludf.DUMMYFUNCTION("""COMPUTED_VALUE"""),"Angel")</f>
        <v>Angel</v>
      </c>
      <c r="AD17" s="3"/>
      <c r="AE17" s="3"/>
      <c r="AF17" s="3"/>
    </row>
    <row r="18">
      <c r="A18" s="3"/>
      <c r="B18" s="3" t="str">
        <f>IFERROR(__xludf.DUMMYFUNCTION("""COMPUTED_VALUE"""),"12.15 PM - 01.10 PM")</f>
        <v>12.15 PM - 01.10 PM</v>
      </c>
      <c r="C18" s="3" t="str">
        <f>IFERROR(__xludf.DUMMYFUNCTION("""COMPUTED_VALUE"""),"FDE Sec 1 Arjun")</f>
        <v>FDE Sec 1 Arjun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tr">
        <f>IFERROR(__xludf.DUMMYFUNCTION("""COMPUTED_VALUE"""),"2:10 - 3:35")</f>
        <v>2:10 - 3:35</v>
      </c>
      <c r="AA18" s="3" t="str">
        <f>IFERROR(__xludf.DUMMYFUNCTION("""COMPUTED_VALUE"""),"Sec5")</f>
        <v>Sec5</v>
      </c>
      <c r="AB18" s="3" t="str">
        <f>IFERROR(__xludf.DUMMYFUNCTION("""COMPUTED_VALUE"""),"David")</f>
        <v>David</v>
      </c>
      <c r="AC18" s="3" t="str">
        <f>IFERROR(__xludf.DUMMYFUNCTION("""COMPUTED_VALUE"""),"Mariya")</f>
        <v>Mariya</v>
      </c>
      <c r="AD18" s="3"/>
      <c r="AE18" s="3"/>
      <c r="AF18" s="3"/>
    </row>
    <row r="19">
      <c r="A19" s="3"/>
      <c r="B19" s="3" t="str">
        <f>IFERROR(__xludf.DUMMYFUNCTION("""COMPUTED_VALUE"""),"01:15 PM - 01.55 PM")</f>
        <v>01:15 PM - 01.55 PM</v>
      </c>
      <c r="C19" s="3" t="str">
        <f>IFERROR(__xludf.DUMMYFUNCTION("""COMPUTED_VALUE"""),"LUNCH BREAK")</f>
        <v>LUNCH BREAK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tr">
        <f>IFERROR(__xludf.DUMMYFUNCTION("""COMPUTED_VALUE"""),"3:50 - 5:15")</f>
        <v>3:50 - 5:15</v>
      </c>
      <c r="AA19" s="3" t="str">
        <f>IFERROR(__xludf.DUMMYFUNCTION("""COMPUTED_VALUE"""),"Sec3")</f>
        <v>Sec3</v>
      </c>
      <c r="AB19" s="3" t="str">
        <f>IFERROR(__xludf.DUMMYFUNCTION("""COMPUTED_VALUE"""),"Nitish")</f>
        <v>Nitish</v>
      </c>
      <c r="AC19" s="3" t="str">
        <f>IFERROR(__xludf.DUMMYFUNCTION("""COMPUTED_VALUE"""),"Beaula")</f>
        <v>Beaula</v>
      </c>
      <c r="AD19" s="3"/>
      <c r="AE19" s="3"/>
      <c r="AF19" s="3"/>
    </row>
    <row r="20">
      <c r="A20" s="3"/>
      <c r="B20" s="3" t="str">
        <f>IFERROR(__xludf.DUMMYFUNCTION("""COMPUTED_VALUE"""),"01:00 PM - 01.55 PM")</f>
        <v>01:00 PM - 01.55 PM</v>
      </c>
      <c r="C20" s="3" t="str">
        <f>IFERROR(__xludf.DUMMYFUNCTION("""COMPUTED_VALUE"""),"FDE Sec4 Dr.Mariya")</f>
        <v>FDE Sec4 Dr.Mariya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3"/>
      <c r="B21" s="3" t="str">
        <f>IFERROR(__xludf.DUMMYFUNCTION("""COMPUTED_VALUE"""),"02.00 PM - 02.55 PM")</f>
        <v>02.00 PM - 02.55 PM</v>
      </c>
      <c r="C21" s="3" t="str">
        <f>IFERROR(__xludf.DUMMYFUNCTION("""COMPUTED_VALUE"""),"FDE Sec4 Dr.Mariya")</f>
        <v>FDE Sec4 Dr.Mariya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 t="str">
        <f>IFERROR(__xludf.DUMMYFUNCTION("""COMPUTED_VALUE"""),"Tuesday")</f>
        <v>Tuesday</v>
      </c>
      <c r="Z21" s="3" t="str">
        <f>IFERROR(__xludf.DUMMYFUNCTION("""COMPUTED_VALUE"""),"9:00 - 10:30")</f>
        <v>9:00 - 10:30</v>
      </c>
      <c r="AA21" s="3"/>
      <c r="AB21" s="3"/>
      <c r="AC21" s="3"/>
      <c r="AD21" s="3"/>
      <c r="AE21" s="3"/>
      <c r="AF21" s="3"/>
    </row>
    <row r="22">
      <c r="A22" s="3"/>
      <c r="B22" s="3" t="str">
        <f>IFERROR(__xludf.DUMMYFUNCTION("""COMPUTED_VALUE"""),"03.00 PM - 03.55 PM")</f>
        <v>03.00 PM - 03.55 PM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tr">
        <f>IFERROR(__xludf.DUMMYFUNCTION("""COMPUTED_VALUE"""),"10:40 - 12:10")</f>
        <v>10:40 - 12:10</v>
      </c>
      <c r="AA22" s="3"/>
      <c r="AB22" s="3"/>
      <c r="AC22" s="3"/>
      <c r="AD22" s="3"/>
      <c r="AE22" s="3"/>
      <c r="AF22" s="3"/>
    </row>
    <row r="23">
      <c r="A23" s="3"/>
      <c r="B23" s="3" t="str">
        <f>IFERROR(__xludf.DUMMYFUNCTION("""COMPUTED_VALUE"""),"04.00 PM - 04.55 PM")</f>
        <v>04.00 PM - 04.55 PM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tr">
        <f>IFERROR(__xludf.DUMMYFUNCTION("""COMPUTED_VALUE"""),"12:20 - 1:40")</f>
        <v>12:20 - 1:40</v>
      </c>
      <c r="AA23" s="3" t="str">
        <f>IFERROR(__xludf.DUMMYFUNCTION("""COMPUTED_VALUE"""),"Sec2")</f>
        <v>Sec2</v>
      </c>
      <c r="AB23" s="3" t="str">
        <f>IFERROR(__xludf.DUMMYFUNCTION("""COMPUTED_VALUE"""),"Tamilarasiarasi")</f>
        <v>Tamilarasiarasi</v>
      </c>
      <c r="AC23" s="3" t="str">
        <f>IFERROR(__xludf.DUMMYFUNCTION("""COMPUTED_VALUE"""),"Ashok")</f>
        <v>Ashok</v>
      </c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 t="str">
        <f>IFERROR(__xludf.DUMMYFUNCTION("""COMPUTED_VALUE"""),"Wednesday")</f>
        <v>Wednesday</v>
      </c>
      <c r="B25" s="3" t="str">
        <f>IFERROR(__xludf.DUMMYFUNCTION("""COMPUTED_VALUE"""),"09:15 AM -  10:10 AM")</f>
        <v>09:15 AM -  10:10 AM</v>
      </c>
      <c r="C25" s="3" t="str">
        <f>IFERROR(__xludf.DUMMYFUNCTION("""COMPUTED_VALUE"""),"FDE Sec5 Dr.Beaula")</f>
        <v>FDE Sec5 Dr.Beaula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tr">
        <f>IFERROR(__xludf.DUMMYFUNCTION("""COMPUTED_VALUE"""),"2:10 - 3:35")</f>
        <v>2:10 - 3:35</v>
      </c>
      <c r="AA25" s="3"/>
      <c r="AB25" s="3"/>
      <c r="AC25" s="3"/>
      <c r="AD25" s="3"/>
      <c r="AE25" s="3"/>
      <c r="AF25" s="3"/>
    </row>
    <row r="26">
      <c r="A26" s="3"/>
      <c r="B26" s="3" t="str">
        <f>IFERROR(__xludf.DUMMYFUNCTION("""COMPUTED_VALUE"""),"10:15 AM -  11:10 AM")</f>
        <v>10:15 AM -  11:10 AM</v>
      </c>
      <c r="C26" s="3" t="str">
        <f>IFERROR(__xludf.DUMMYFUNCTION("""COMPUTED_VALUE"""),"FDE Sec5 Dr.Beaula")</f>
        <v>FDE Sec5 Dr.Beaula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tr">
        <f>IFERROR(__xludf.DUMMYFUNCTION("""COMPUTED_VALUE"""),"3:50 - 5:15")</f>
        <v>3:50 - 5:15</v>
      </c>
      <c r="AA26" s="3" t="str">
        <f>IFERROR(__xludf.DUMMYFUNCTION("""COMPUTED_VALUE"""),"Sec1")</f>
        <v>Sec1</v>
      </c>
      <c r="AB26" s="3" t="str">
        <f>IFERROR(__xludf.DUMMYFUNCTION("""COMPUTED_VALUE"""),"Vivekanand")</f>
        <v>Vivekanand</v>
      </c>
      <c r="AC26" s="3"/>
      <c r="AD26" s="3" t="str">
        <f>IFERROR(__xludf.DUMMYFUNCTION("""COMPUTED_VALUE"""),"Ujjwal")</f>
        <v>Ujjwal</v>
      </c>
      <c r="AE26" s="3" t="str">
        <f>IFERROR(__xludf.DUMMYFUNCTION("""COMPUTED_VALUE"""),"Nitish")</f>
        <v>Nitish</v>
      </c>
      <c r="AF26" s="3" t="str">
        <f>IFERROR(__xludf.DUMMYFUNCTION("""COMPUTED_VALUE"""),"Arjun")</f>
        <v>Arjun</v>
      </c>
    </row>
    <row r="27">
      <c r="A27" s="3"/>
      <c r="B27" s="3" t="str">
        <f>IFERROR(__xludf.DUMMYFUNCTION("""COMPUTED_VALUE"""),"11.15 AM - 12.10 PM")</f>
        <v>11.15 AM - 12.10 PM</v>
      </c>
      <c r="C27" s="3" t="str">
        <f>IFERROR(__xludf.DUMMYFUNCTION("""COMPUTED_VALUE"""),"FDE Sec6 Nitish")</f>
        <v>FDE Sec6 Nitish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 t="str">
        <f>IFERROR(__xludf.DUMMYFUNCTION("""COMPUTED_VALUE"""),"12:15 PM -  12:55 PM")</f>
        <v>12:15 PM -  12:55 PM</v>
      </c>
      <c r="C28" s="3" t="str">
        <f>IFERROR(__xludf.DUMMYFUNCTION("""COMPUTED_VALUE"""),"LUNCH BREAK")</f>
        <v>LUNCH BREAK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str">
        <f>IFERROR(__xludf.DUMMYFUNCTION("""COMPUTED_VALUE"""),"Wednesday")</f>
        <v>Wednesday</v>
      </c>
      <c r="Z28" s="3" t="str">
        <f>IFERROR(__xludf.DUMMYFUNCTION("""COMPUTED_VALUE"""),"9:00 - 10:30")</f>
        <v>9:00 - 10:30</v>
      </c>
      <c r="AA28" s="3" t="str">
        <f>IFERROR(__xludf.DUMMYFUNCTION("""COMPUTED_VALUE"""),"Sec4")</f>
        <v>Sec4</v>
      </c>
      <c r="AB28" s="3" t="str">
        <f>IFERROR(__xludf.DUMMYFUNCTION("""COMPUTED_VALUE"""),"Arjun")</f>
        <v>Arjun</v>
      </c>
      <c r="AC28" s="3"/>
      <c r="AD28" s="3" t="str">
        <f>IFERROR(__xludf.DUMMYFUNCTION("""COMPUTED_VALUE"""),"Ashok")</f>
        <v>Ashok</v>
      </c>
      <c r="AE28" s="3" t="str">
        <f>IFERROR(__xludf.DUMMYFUNCTION("""COMPUTED_VALUE"""),"David")</f>
        <v>David</v>
      </c>
      <c r="AF28" s="3" t="str">
        <f>IFERROR(__xludf.DUMMYFUNCTION("""COMPUTED_VALUE"""),"Aravindh")</f>
        <v>Aravindh</v>
      </c>
    </row>
    <row r="29">
      <c r="A29" s="3"/>
      <c r="B29" s="3" t="str">
        <f>IFERROR(__xludf.DUMMYFUNCTION("""COMPUTED_VALUE"""),"12.15 PM - 01.10 PM")</f>
        <v>12.15 PM - 01.10 PM</v>
      </c>
      <c r="C29" s="3" t="str">
        <f>IFERROR(__xludf.DUMMYFUNCTION("""COMPUTED_VALUE"""),"FDE Sec6 Nitish")</f>
        <v>FDE Sec6 Nitish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tr">
        <f>IFERROR(__xludf.DUMMYFUNCTION("""COMPUTED_VALUE"""),"10:40 - 12:10")</f>
        <v>10:40 - 12:10</v>
      </c>
      <c r="AA29" s="3" t="str">
        <f>IFERROR(__xludf.DUMMYFUNCTION("""COMPUTED_VALUE"""),"Sec5")</f>
        <v>Sec5</v>
      </c>
      <c r="AB29" s="3" t="str">
        <f>IFERROR(__xludf.DUMMYFUNCTION("""COMPUTED_VALUE"""),"David")</f>
        <v>David</v>
      </c>
      <c r="AC29" s="3" t="str">
        <f>IFERROR(__xludf.DUMMYFUNCTION("""COMPUTED_VALUE"""),"Mariya")</f>
        <v>Mariya</v>
      </c>
      <c r="AD29" s="3"/>
      <c r="AE29" s="3"/>
      <c r="AF29" s="3"/>
    </row>
    <row r="30">
      <c r="A30" s="3"/>
      <c r="B30" s="3" t="str">
        <f>IFERROR(__xludf.DUMMYFUNCTION("""COMPUTED_VALUE"""),"01:15 PM - 01.55 PM")</f>
        <v>01:15 PM - 01.55 PM</v>
      </c>
      <c r="C30" s="3" t="str">
        <f>IFERROR(__xludf.DUMMYFUNCTION("""COMPUTED_VALUE"""),"LUNCH BREAK")</f>
        <v>LUNCH BREAK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tr">
        <f>IFERROR(__xludf.DUMMYFUNCTION("""COMPUTED_VALUE"""),"12:20 - 1:40")</f>
        <v>12:20 - 1:40</v>
      </c>
      <c r="AA30" s="3" t="str">
        <f>IFERROR(__xludf.DUMMYFUNCTION("""COMPUTED_VALUE"""),"Sec6")</f>
        <v>Sec6</v>
      </c>
      <c r="AB30" s="3" t="str">
        <f>IFERROR(__xludf.DUMMYFUNCTION("""COMPUTED_VALUE"""),"Vishal")</f>
        <v>Vishal</v>
      </c>
      <c r="AC30" s="3"/>
      <c r="AD30" s="3" t="str">
        <f>IFERROR(__xludf.DUMMYFUNCTION("""COMPUTED_VALUE"""),"Tamilarasiarasi")</f>
        <v>Tamilarasiarasi</v>
      </c>
      <c r="AE30" s="3" t="str">
        <f>IFERROR(__xludf.DUMMYFUNCTION("""COMPUTED_VALUE"""),"Beaula")</f>
        <v>Beaula</v>
      </c>
      <c r="AF30" s="3" t="str">
        <f>IFERROR(__xludf.DUMMYFUNCTION("""COMPUTED_VALUE"""),"Mariya")</f>
        <v>Mariya</v>
      </c>
    </row>
    <row r="31">
      <c r="A31" s="3"/>
      <c r="B31" s="3" t="str">
        <f>IFERROR(__xludf.DUMMYFUNCTION("""COMPUTED_VALUE"""),"01:00 PM - 01.55 PM")</f>
        <v>01:00 PM - 01.55 PM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tr">
        <f>IFERROR(__xludf.DUMMYFUNCTION("""COMPUTED_VALUE"""),"2:10 - 3:35")</f>
        <v>2:10 - 3:35</v>
      </c>
      <c r="AA31" s="3"/>
      <c r="AB31" s="3"/>
      <c r="AC31" s="3"/>
      <c r="AD31" s="3"/>
      <c r="AE31" s="3"/>
      <c r="AF31" s="3"/>
    </row>
    <row r="32">
      <c r="A32" s="3"/>
      <c r="B32" s="3" t="str">
        <f>IFERROR(__xludf.DUMMYFUNCTION("""COMPUTED_VALUE"""),"02.00 PM - 02.55 PM")</f>
        <v>02.00 PM - 02.55 PM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tr">
        <f>IFERROR(__xludf.DUMMYFUNCTION("""COMPUTED_VALUE"""),"3:50 - 5:15")</f>
        <v>3:50 - 5:15</v>
      </c>
      <c r="AA32" s="3"/>
      <c r="AB32" s="3"/>
      <c r="AC32" s="3"/>
      <c r="AD32" s="3"/>
      <c r="AE32" s="3"/>
      <c r="AF32" s="3"/>
    </row>
    <row r="33">
      <c r="A33" s="3"/>
      <c r="B33" s="3" t="str">
        <f>IFERROR(__xludf.DUMMYFUNCTION("""COMPUTED_VALUE"""),"03.00 PM - 03.55 PM")</f>
        <v>03.00 PM - 03.55 PM</v>
      </c>
      <c r="C33" s="3" t="str">
        <f>IFERROR(__xludf.DUMMYFUNCTION("""COMPUTED_VALUE"""),"FDE Sec8 Dr.Sangeetha")</f>
        <v>FDE Sec8 Dr.Sangeetha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 t="str">
        <f>IFERROR(__xludf.DUMMYFUNCTION("""COMPUTED_VALUE"""),"04.00 PM - 04.55 PM")</f>
        <v>04.00 PM - 04.55 PM</v>
      </c>
      <c r="C34" s="3" t="str">
        <f>IFERROR(__xludf.DUMMYFUNCTION("""COMPUTED_VALUE"""),"FDE Sec8 Dr.Sangeetha")</f>
        <v>FDE Sec8 Dr.Sangeetha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str">
        <f>IFERROR(__xludf.DUMMYFUNCTION("""COMPUTED_VALUE"""),"Thursday")</f>
        <v>Thursday</v>
      </c>
      <c r="Z34" s="3" t="str">
        <f>IFERROR(__xludf.DUMMYFUNCTION("""COMPUTED_VALUE"""),"9:00 - 10:30")</f>
        <v>9:00 - 10:30</v>
      </c>
      <c r="AA34" s="3" t="str">
        <f>IFERROR(__xludf.DUMMYFUNCTION("""COMPUTED_VALUE"""),"Sec7")</f>
        <v>Sec7</v>
      </c>
      <c r="AB34" s="3" t="str">
        <f>IFERROR(__xludf.DUMMYFUNCTION("""COMPUTED_VALUE"""),"Aravindh")</f>
        <v>Aravindh</v>
      </c>
      <c r="AC34" s="3" t="str">
        <f>IFERROR(__xludf.DUMMYFUNCTION("""COMPUTED_VALUE"""),"Angel")</f>
        <v>Angel</v>
      </c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 t="str">
        <f>IFERROR(__xludf.DUMMYFUNCTION("""COMPUTED_VALUE"""),"Thursday")</f>
        <v>Thursday</v>
      </c>
      <c r="B36" s="3" t="str">
        <f>IFERROR(__xludf.DUMMYFUNCTION("""COMPUTED_VALUE"""),"09:15 AM -  10:10 AM")</f>
        <v>09:15 AM -  10:10 AM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tr">
        <f>IFERROR(__xludf.DUMMYFUNCTION("""COMPUTED_VALUE"""),"10:40 - 12:10")</f>
        <v>10:40 - 12:10</v>
      </c>
      <c r="AA36" s="3" t="str">
        <f>IFERROR(__xludf.DUMMYFUNCTION("""COMPUTED_VALUE"""),"Sec4")</f>
        <v>Sec4</v>
      </c>
      <c r="AB36" s="3" t="str">
        <f>IFERROR(__xludf.DUMMYFUNCTION("""COMPUTED_VALUE"""),"Arjun")</f>
        <v>Arjun</v>
      </c>
      <c r="AC36" s="3"/>
      <c r="AD36" s="3" t="str">
        <f>IFERROR(__xludf.DUMMYFUNCTION("""COMPUTED_VALUE"""),"Ashok")</f>
        <v>Ashok</v>
      </c>
      <c r="AE36" s="3" t="str">
        <f>IFERROR(__xludf.DUMMYFUNCTION("""COMPUTED_VALUE"""),"David")</f>
        <v>David</v>
      </c>
      <c r="AF36" s="3" t="str">
        <f>IFERROR(__xludf.DUMMYFUNCTION("""COMPUTED_VALUE"""),"Aravindh")</f>
        <v>Aravindh</v>
      </c>
    </row>
    <row r="37">
      <c r="A37" s="3"/>
      <c r="B37" s="3" t="str">
        <f>IFERROR(__xludf.DUMMYFUNCTION("""COMPUTED_VALUE"""),"10:15 AM -  11:10 AM")</f>
        <v>10:15 AM -  11:10 AM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tr">
        <f>IFERROR(__xludf.DUMMYFUNCTION("""COMPUTED_VALUE"""),"12:20 - 1:40")</f>
        <v>12:20 - 1:40</v>
      </c>
      <c r="AA37" s="3" t="str">
        <f>IFERROR(__xludf.DUMMYFUNCTION("""COMPUTED_VALUE"""),"Sec3")</f>
        <v>Sec3</v>
      </c>
      <c r="AB37" s="3" t="str">
        <f>IFERROR(__xludf.DUMMYFUNCTION("""COMPUTED_VALUE"""),"Nitish")</f>
        <v>Nitish</v>
      </c>
      <c r="AC37" s="3" t="str">
        <f>IFERROR(__xludf.DUMMYFUNCTION("""COMPUTED_VALUE"""),"Beaula")</f>
        <v>Beaula</v>
      </c>
      <c r="AD37" s="3"/>
      <c r="AE37" s="3"/>
      <c r="AF37" s="3"/>
    </row>
    <row r="38">
      <c r="A38" s="3"/>
      <c r="B38" s="3" t="str">
        <f>IFERROR(__xludf.DUMMYFUNCTION("""COMPUTED_VALUE"""),"11.15 AM - 12.10 PM")</f>
        <v>11.15 AM - 12.10 PM</v>
      </c>
      <c r="C38" s="3" t="str">
        <f>IFERROR(__xludf.DUMMYFUNCTION("""COMPUTED_VALUE"""),"FDE Sec2 Dr.Tamilarasi")</f>
        <v>FDE Sec2 Dr.Tamilarasi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tr">
        <f>IFERROR(__xludf.DUMMYFUNCTION("""COMPUTED_VALUE"""),"2:10 - 3:35")</f>
        <v>2:10 - 3:35</v>
      </c>
      <c r="AA38" s="3"/>
      <c r="AB38" s="3"/>
      <c r="AC38" s="3"/>
      <c r="AD38" s="3"/>
      <c r="AE38" s="3"/>
      <c r="AF38" s="3"/>
    </row>
    <row r="39">
      <c r="A39" s="3"/>
      <c r="B39" s="3" t="str">
        <f>IFERROR(__xludf.DUMMYFUNCTION("""COMPUTED_VALUE"""),"12:15 PM -  12:55 PM")</f>
        <v>12:15 PM -  12:55 PM</v>
      </c>
      <c r="C39" s="3" t="str">
        <f>IFERROR(__xludf.DUMMYFUNCTION("""COMPUTED_VALUE"""),"LUNCH BREAK")</f>
        <v>LUNCH BREAK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tr">
        <f>IFERROR(__xludf.DUMMYFUNCTION("""COMPUTED_VALUE"""),"3:50 - 5:15")</f>
        <v>3:50 - 5:15</v>
      </c>
      <c r="AA39" s="3" t="str">
        <f>IFERROR(__xludf.DUMMYFUNCTION("""COMPUTED_VALUE"""),"Sec8")</f>
        <v>Sec8</v>
      </c>
      <c r="AB39" s="3" t="str">
        <f>IFERROR(__xludf.DUMMYFUNCTION("""COMPUTED_VALUE"""),"Ujjwal")</f>
        <v>Ujjwal</v>
      </c>
      <c r="AC39" s="3"/>
      <c r="AD39" s="3" t="str">
        <f>IFERROR(__xludf.DUMMYFUNCTION("""COMPUTED_VALUE"""),"Vivekanand")</f>
        <v>Vivekanand</v>
      </c>
      <c r="AE39" s="3" t="str">
        <f>IFERROR(__xludf.DUMMYFUNCTION("""COMPUTED_VALUE"""),"Vishal")</f>
        <v>Vishal</v>
      </c>
      <c r="AF39" s="3" t="str">
        <f>IFERROR(__xludf.DUMMYFUNCTION("""COMPUTED_VALUE"""),"Angel")</f>
        <v>Angel</v>
      </c>
    </row>
    <row r="40">
      <c r="A40" s="3"/>
      <c r="B40" s="3" t="str">
        <f>IFERROR(__xludf.DUMMYFUNCTION("""COMPUTED_VALUE"""),"12.15 PM - 01.10 PM")</f>
        <v>12.15 PM - 01.10 PM</v>
      </c>
      <c r="C40" s="3" t="str">
        <f>IFERROR(__xludf.DUMMYFUNCTION("""COMPUTED_VALUE"""),"FDE Sec2 Dr.Tamilarasi")</f>
        <v>FDE Sec2 Dr.Tamilarasi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 t="str">
        <f>IFERROR(__xludf.DUMMYFUNCTION("""COMPUTED_VALUE"""),"01:15 PM - 01.55 PM")</f>
        <v>01:15 PM - 01.55 PM</v>
      </c>
      <c r="C41" s="3" t="str">
        <f>IFERROR(__xludf.DUMMYFUNCTION("""COMPUTED_VALUE"""),"LUNCH BREAK")</f>
        <v>LUNCH BREAK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 t="str">
        <f>IFERROR(__xludf.DUMMYFUNCTION("""COMPUTED_VALUE"""),"Friday")</f>
        <v>Friday</v>
      </c>
      <c r="Z41" s="3" t="str">
        <f>IFERROR(__xludf.DUMMYFUNCTION("""COMPUTED_VALUE"""),"9:00 - 10:30")</f>
        <v>9:00 - 10:30</v>
      </c>
      <c r="AA41" s="3" t="str">
        <f>IFERROR(__xludf.DUMMYFUNCTION("""COMPUTED_VALUE"""),"Sec8")</f>
        <v>Sec8</v>
      </c>
      <c r="AB41" s="3" t="str">
        <f>IFERROR(__xludf.DUMMYFUNCTION("""COMPUTED_VALUE"""),"Ujjwal")</f>
        <v>Ujjwal</v>
      </c>
      <c r="AC41" s="3"/>
      <c r="AD41" s="3" t="str">
        <f>IFERROR(__xludf.DUMMYFUNCTION("""COMPUTED_VALUE"""),"Vivekanand")</f>
        <v>Vivekanand</v>
      </c>
      <c r="AE41" s="3" t="str">
        <f>IFERROR(__xludf.DUMMYFUNCTION("""COMPUTED_VALUE"""),"Vishal")</f>
        <v>Vishal</v>
      </c>
      <c r="AF41" s="3" t="str">
        <f>IFERROR(__xludf.DUMMYFUNCTION("""COMPUTED_VALUE"""),"Angel")</f>
        <v>Angel</v>
      </c>
    </row>
    <row r="42">
      <c r="A42" s="3"/>
      <c r="B42" s="3" t="str">
        <f>IFERROR(__xludf.DUMMYFUNCTION("""COMPUTED_VALUE"""),"01:00 PM - 01.55 PM")</f>
        <v>01:00 PM - 01.55 PM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tr">
        <f>IFERROR(__xludf.DUMMYFUNCTION("""COMPUTED_VALUE"""),"10:40 - 12:10")</f>
        <v>10:40 - 12:10</v>
      </c>
      <c r="AA42" s="3" t="str">
        <f>IFERROR(__xludf.DUMMYFUNCTION("""COMPUTED_VALUE"""),"Sec2")</f>
        <v>Sec2</v>
      </c>
      <c r="AB42" s="3" t="str">
        <f>IFERROR(__xludf.DUMMYFUNCTION("""COMPUTED_VALUE"""),"Tamilarasiarasi")</f>
        <v>Tamilarasiarasi</v>
      </c>
      <c r="AC42" s="3" t="str">
        <f>IFERROR(__xludf.DUMMYFUNCTION("""COMPUTED_VALUE"""),"Ashok")</f>
        <v>Ashok</v>
      </c>
      <c r="AD42" s="3"/>
      <c r="AE42" s="3"/>
      <c r="AF42" s="3"/>
    </row>
    <row r="43">
      <c r="A43" s="3"/>
      <c r="B43" s="3" t="str">
        <f>IFERROR(__xludf.DUMMYFUNCTION("""COMPUTED_VALUE"""),"02.00 PM - 02.55 PM")</f>
        <v>02.00 PM - 02.55 PM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tr">
        <f>IFERROR(__xludf.DUMMYFUNCTION("""COMPUTED_VALUE"""),"12:20 - 1:40")</f>
        <v>12:20 - 1:40</v>
      </c>
      <c r="AA43" s="3"/>
      <c r="AB43" s="3"/>
      <c r="AC43" s="3"/>
      <c r="AD43" s="3"/>
      <c r="AE43" s="3"/>
      <c r="AF43" s="3"/>
    </row>
    <row r="44">
      <c r="A44" s="3"/>
      <c r="B44" s="3" t="str">
        <f>IFERROR(__xludf.DUMMYFUNCTION("""COMPUTED_VALUE"""),"03.00 PM - 03.55 PM")</f>
        <v>03.00 PM - 03.55 PM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tr">
        <f>IFERROR(__xludf.DUMMYFUNCTION("""COMPUTED_VALUE"""),"2:10 - 3:35")</f>
        <v>2:10 - 3:35</v>
      </c>
      <c r="AA44" s="3" t="str">
        <f>IFERROR(__xludf.DUMMYFUNCTION("""COMPUTED_VALUE"""),"Sec1")</f>
        <v>Sec1</v>
      </c>
      <c r="AB44" s="3" t="str">
        <f>IFERROR(__xludf.DUMMYFUNCTION("""COMPUTED_VALUE"""),"Vivekanand")</f>
        <v>Vivekanand</v>
      </c>
      <c r="AC44" s="3"/>
      <c r="AD44" s="3" t="str">
        <f>IFERROR(__xludf.DUMMYFUNCTION("""COMPUTED_VALUE"""),"Ujjwal")</f>
        <v>Ujjwal</v>
      </c>
      <c r="AE44" s="3" t="str">
        <f>IFERROR(__xludf.DUMMYFUNCTION("""COMPUTED_VALUE"""),"Nitish")</f>
        <v>Nitish</v>
      </c>
      <c r="AF44" s="3" t="str">
        <f>IFERROR(__xludf.DUMMYFUNCTION("""COMPUTED_VALUE"""),"Arjun")</f>
        <v>Arjun</v>
      </c>
    </row>
    <row r="45">
      <c r="A45" s="3"/>
      <c r="B45" s="3" t="str">
        <f>IFERROR(__xludf.DUMMYFUNCTION("""COMPUTED_VALUE"""),"04.00 PM - 04.55 PM")</f>
        <v>04.00 PM - 04.55 PM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tr">
        <f>IFERROR(__xludf.DUMMYFUNCTION("""COMPUTED_VALUE"""),"3:50 - 5:15")</f>
        <v>3:50 - 5:15</v>
      </c>
      <c r="AA45" s="3" t="str">
        <f>IFERROR(__xludf.DUMMYFUNCTION("""COMPUTED_VALUE"""),"Sec6")</f>
        <v>Sec6</v>
      </c>
      <c r="AB45" s="3" t="str">
        <f>IFERROR(__xludf.DUMMYFUNCTION("""COMPUTED_VALUE"""),"Vishal")</f>
        <v>Vishal</v>
      </c>
      <c r="AC45" s="3"/>
      <c r="AD45" s="3" t="str">
        <f>IFERROR(__xludf.DUMMYFUNCTION("""COMPUTED_VALUE"""),"Tamilarasiarasi")</f>
        <v>Tamilarasiarasi</v>
      </c>
      <c r="AE45" s="3" t="str">
        <f>IFERROR(__xludf.DUMMYFUNCTION("""COMPUTED_VALUE"""),"Beaula")</f>
        <v>Beaula</v>
      </c>
      <c r="AF45" s="3" t="str">
        <f>IFERROR(__xludf.DUMMYFUNCTION("""COMPUTED_VALUE"""),"Mariya")</f>
        <v>Mariya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 t="str">
        <f>IFERROR(__xludf.DUMMYFUNCTION("""COMPUTED_VALUE"""),"Friday")</f>
        <v>Friday</v>
      </c>
      <c r="B47" s="3" t="str">
        <f>IFERROR(__xludf.DUMMYFUNCTION("""COMPUTED_VALUE"""),"09:15 AM -  10:10 AM")</f>
        <v>09:15 AM -  10:10 AM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 t="str">
        <f>IFERROR(__xludf.DUMMYFUNCTION("""COMPUTED_VALUE"""),"10:15 AM -  11:10 AM")</f>
        <v>10:15 AM -  11:10 AM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 t="str">
        <f>IFERROR(__xludf.DUMMYFUNCTION("""COMPUTED_VALUE"""),"11.15 AM - 12.10 PM")</f>
        <v>11.15 AM - 12.10 PM</v>
      </c>
      <c r="C49" s="3" t="str">
        <f>IFERROR(__xludf.DUMMYFUNCTION("""COMPUTED_VALUE"""),"FDE Sec7 Nitish")</f>
        <v>FDE Sec7 Nitish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 t="str">
        <f>IFERROR(__xludf.DUMMYFUNCTION("""COMPUTED_VALUE"""),"12:15 PM -  12:55 PM")</f>
        <v>12:15 PM -  12:55 PM</v>
      </c>
      <c r="C50" s="3" t="str">
        <f>IFERROR(__xludf.DUMMYFUNCTION("""COMPUTED_VALUE"""),"LUNCH BREAK")</f>
        <v>LUNCH BREAK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 t="str">
        <f>IFERROR(__xludf.DUMMYFUNCTION("""COMPUTED_VALUE"""),"12.15 PM - 01.10 PM")</f>
        <v>12.15 PM - 01.10 PM</v>
      </c>
      <c r="C51" s="3" t="str">
        <f>IFERROR(__xludf.DUMMYFUNCTION("""COMPUTED_VALUE"""),"FDE Sec7 Nitish")</f>
        <v>FDE Sec7 Nitish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 t="str">
        <f>IFERROR(__xludf.DUMMYFUNCTION("""COMPUTED_VALUE"""),"01:15 PM - 01.55 PM")</f>
        <v>01:15 PM - 01.55 PM</v>
      </c>
      <c r="C52" s="3" t="str">
        <f>IFERROR(__xludf.DUMMYFUNCTION("""COMPUTED_VALUE"""),"LUNCH BREAK")</f>
        <v>LUNCH BREAK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 t="str">
        <f>IFERROR(__xludf.DUMMYFUNCTION("""COMPUTED_VALUE"""),"01:00 PM - 01.55 PM")</f>
        <v>01:00 PM - 01.55 PM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 t="str">
        <f>IFERROR(__xludf.DUMMYFUNCTION("""COMPUTED_VALUE"""),"02.00 PM - 02.55 PM")</f>
        <v>02.00 PM - 02.55 PM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 t="str">
        <f>IFERROR(__xludf.DUMMYFUNCTION("""COMPUTED_VALUE"""),"03.00 PM - 03.55 PM")</f>
        <v>03.00 PM - 03.55 PM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 t="str">
        <f>IFERROR(__xludf.DUMMYFUNCTION("""COMPUTED_VALUE"""),"04.00 PM - 04.55 PM")</f>
        <v>04.00 PM - 04.55 PM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IFERROR(__xludf.DUMMYFUNCTION("IMPORTRANGE(""1M3jl6_D3EBy-5b1xjv0RLgGaEMymcJAVr9RNnsxkVp0"",""'Emerging Tools Lab Schedule'!A:ZZ"")"),"Emerging Tools Lab Schedule")</f>
        <v>Emerging Tools Lab Schedule</v>
      </c>
      <c r="B1" s="3"/>
      <c r="C1" s="3"/>
      <c r="D1" s="3" t="str">
        <f>IFERROR(__xludf.DUMMYFUNCTION("""COMPUTED_VALUE"""),"  ")</f>
        <v>  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3" t="str">
        <f>IFERROR(__xludf.DUMMYFUNCTION("""COMPUTED_VALUE"""),"Day")</f>
        <v>Day</v>
      </c>
      <c r="B2" s="3" t="str">
        <f>IFERROR(__xludf.DUMMYFUNCTION("""COMPUTED_VALUE"""),"Time")</f>
        <v>Time</v>
      </c>
      <c r="C2" s="3" t="str">
        <f>IFERROR(__xludf.DUMMYFUNCTION("""COMPUTED_VALUE"""),"Section")</f>
        <v>Section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tr">
        <f>IFERROR(__xludf.DUMMYFUNCTION("""COMPUTED_VALUE"""),"PDS Lab")</f>
        <v>PDS Lab</v>
      </c>
      <c r="Z2" s="3"/>
      <c r="AA2" s="3"/>
      <c r="AB2" s="3"/>
      <c r="AC2" s="3"/>
      <c r="AD2" s="3"/>
      <c r="AE2" s="3"/>
      <c r="AF2" s="3"/>
    </row>
    <row r="3">
      <c r="A3" s="3" t="str">
        <f>IFERROR(__xludf.DUMMYFUNCTION("""COMPUTED_VALUE"""),"Monday")</f>
        <v>Monday</v>
      </c>
      <c r="B3" s="3" t="str">
        <f>IFERROR(__xludf.DUMMYFUNCTION("""COMPUTED_VALUE"""),"09:15 AM -  10:10 AM")</f>
        <v>09:15 AM -  10:10 AM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 t="str">
        <f>IFERROR(__xludf.DUMMYFUNCTION("""COMPUTED_VALUE"""),"Section")</f>
        <v>Section</v>
      </c>
      <c r="Z3" s="3" t="str">
        <f>IFERROR(__xludf.DUMMYFUNCTION("""COMPUTED_VALUE"""),"Faculty")</f>
        <v>Faculty</v>
      </c>
      <c r="AA3" s="3"/>
      <c r="AB3" s="3"/>
      <c r="AC3" s="3"/>
      <c r="AD3" s="3"/>
      <c r="AE3" s="3"/>
      <c r="AF3" s="3"/>
    </row>
    <row r="4">
      <c r="A4" s="3"/>
      <c r="B4" s="3" t="str">
        <f>IFERROR(__xludf.DUMMYFUNCTION("""COMPUTED_VALUE"""),"10:15 AM -  11:10 AM")</f>
        <v>10:15 AM -  11:10 AM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tr">
        <f>IFERROR(__xludf.DUMMYFUNCTION("""COMPUTED_VALUE"""),"PDS Lab Sec1")</f>
        <v>PDS Lab Sec1</v>
      </c>
      <c r="Z4" s="3"/>
      <c r="AA4" s="3"/>
      <c r="AB4" s="3"/>
      <c r="AC4" s="3"/>
      <c r="AD4" s="3"/>
      <c r="AE4" s="3"/>
      <c r="AF4" s="3"/>
    </row>
    <row r="5">
      <c r="A5" s="3"/>
      <c r="B5" s="3" t="str">
        <f>IFERROR(__xludf.DUMMYFUNCTION("""COMPUTED_VALUE"""),"11.15 AM - 12.10 PM")</f>
        <v>11.15 AM - 12.10 PM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 t="str">
        <f>IFERROR(__xludf.DUMMYFUNCTION("""COMPUTED_VALUE"""),"PDS Lab Sec2")</f>
        <v>PDS Lab Sec2</v>
      </c>
      <c r="Z5" s="3"/>
      <c r="AA5" s="3"/>
      <c r="AB5" s="3"/>
      <c r="AC5" s="3"/>
      <c r="AD5" s="3"/>
      <c r="AE5" s="3"/>
      <c r="AF5" s="3"/>
    </row>
    <row r="6">
      <c r="A6" s="3"/>
      <c r="B6" s="3" t="str">
        <f>IFERROR(__xludf.DUMMYFUNCTION("""COMPUTED_VALUE"""),"12:15 PM -  12:55 PM")</f>
        <v>12:15 PM -  12:55 PM</v>
      </c>
      <c r="C6" s="3" t="str">
        <f>IFERROR(__xludf.DUMMYFUNCTION("""COMPUTED_VALUE"""),"LUNCH BREAK")</f>
        <v>LUNCH BREAK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 t="str">
        <f>IFERROR(__xludf.DUMMYFUNCTION("""COMPUTED_VALUE"""),"PDS Lab Sec3")</f>
        <v>PDS Lab Sec3</v>
      </c>
      <c r="Z6" s="3"/>
      <c r="AA6" s="3"/>
      <c r="AB6" s="3"/>
      <c r="AC6" s="3"/>
      <c r="AD6" s="3"/>
      <c r="AE6" s="3"/>
      <c r="AF6" s="3"/>
    </row>
    <row r="7">
      <c r="A7" s="3"/>
      <c r="B7" s="3" t="str">
        <f>IFERROR(__xludf.DUMMYFUNCTION("""COMPUTED_VALUE"""),"12.15 PM - 01.10 PM")</f>
        <v>12.15 PM - 01.10 PM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>
      <c r="A8" s="3"/>
      <c r="B8" s="3" t="str">
        <f>IFERROR(__xludf.DUMMYFUNCTION("""COMPUTED_VALUE"""),"01:15 PM - 01.55 PM")</f>
        <v>01:15 PM - 01.55 PM</v>
      </c>
      <c r="C8" s="3" t="str">
        <f>IFERROR(__xludf.DUMMYFUNCTION("""COMPUTED_VALUE"""),"LUNCH BREAK")</f>
        <v>LUNCH BREAK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 t="str">
        <f>IFERROR(__xludf.DUMMYFUNCTION("""COMPUTED_VALUE"""),"PDS Lab Sec4")</f>
        <v>PDS Lab Sec4</v>
      </c>
      <c r="Z8" s="3"/>
      <c r="AA8" s="3"/>
      <c r="AB8" s="3"/>
      <c r="AC8" s="3"/>
      <c r="AD8" s="3"/>
      <c r="AE8" s="3"/>
      <c r="AF8" s="3"/>
    </row>
    <row r="9">
      <c r="A9" s="3"/>
      <c r="B9" s="3" t="str">
        <f>IFERROR(__xludf.DUMMYFUNCTION("""COMPUTED_VALUE"""),"01:00 PM - 01.55 PM")</f>
        <v>01:00 PM - 01.55 PM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 t="str">
        <f>IFERROR(__xludf.DUMMYFUNCTION("""COMPUTED_VALUE"""),"PDS Lab Sec5")</f>
        <v>PDS Lab Sec5</v>
      </c>
      <c r="Z9" s="3"/>
      <c r="AA9" s="3"/>
      <c r="AB9" s="3"/>
      <c r="AC9" s="3"/>
      <c r="AD9" s="3"/>
      <c r="AE9" s="3"/>
      <c r="AF9" s="3"/>
    </row>
    <row r="10">
      <c r="A10" s="3"/>
      <c r="B10" s="3" t="str">
        <f>IFERROR(__xludf.DUMMYFUNCTION("""COMPUTED_VALUE"""),"02.00 PM - 02.55 PM")</f>
        <v>02.00 PM - 02.55 PM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 t="str">
        <f>IFERROR(__xludf.DUMMYFUNCTION("""COMPUTED_VALUE"""),"PDS Lab Sec6")</f>
        <v>PDS Lab Sec6</v>
      </c>
      <c r="Z10" s="3"/>
      <c r="AA10" s="3"/>
      <c r="AB10" s="3"/>
      <c r="AC10" s="3"/>
      <c r="AD10" s="3"/>
      <c r="AE10" s="3"/>
      <c r="AF10" s="3"/>
    </row>
    <row r="11">
      <c r="A11" s="3"/>
      <c r="B11" s="3" t="str">
        <f>IFERROR(__xludf.DUMMYFUNCTION("""COMPUTED_VALUE"""),"03.00 PM - 03.55 PM")</f>
        <v>03.00 PM - 03.55 PM</v>
      </c>
      <c r="C11" s="3" t="str">
        <f>IFERROR(__xludf.DUMMYFUNCTION("""COMPUTED_VALUE"""),"ET Sec3 Sonar")</f>
        <v>ET Sec3 Sonar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 t="str">
        <f>IFERROR(__xludf.DUMMYFUNCTION("""COMPUTED_VALUE"""),"PDS Lab Sec7")</f>
        <v>PDS Lab Sec7</v>
      </c>
      <c r="Z11" s="3"/>
      <c r="AA11" s="3"/>
      <c r="AB11" s="3"/>
      <c r="AC11" s="3"/>
      <c r="AD11" s="3"/>
      <c r="AE11" s="3"/>
      <c r="AF11" s="3"/>
    </row>
    <row r="12">
      <c r="A12" s="3"/>
      <c r="B12" s="3" t="str">
        <f>IFERROR(__xludf.DUMMYFUNCTION("""COMPUTED_VALUE"""),"04.00 PM - 04.55 PM")</f>
        <v>04.00 PM - 04.55 PM</v>
      </c>
      <c r="C12" s="3" t="str">
        <f>IFERROR(__xludf.DUMMYFUNCTION("""COMPUTED_VALUE"""),"ET Sec3 Sonar")</f>
        <v>ET Sec3 Sonar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 t="str">
        <f>IFERROR(__xludf.DUMMYFUNCTION("""COMPUTED_VALUE"""),"PDS Lab Sec8")</f>
        <v>PDS Lab Sec8</v>
      </c>
      <c r="Z12" s="3"/>
      <c r="AA12" s="3"/>
      <c r="AB12" s="3"/>
      <c r="AC12" s="3"/>
      <c r="AD12" s="3"/>
      <c r="AE12" s="3"/>
      <c r="AF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>
      <c r="A14" s="3" t="str">
        <f>IFERROR(__xludf.DUMMYFUNCTION("""COMPUTED_VALUE"""),"Tuesday")</f>
        <v>Tuesday</v>
      </c>
      <c r="B14" s="3" t="str">
        <f>IFERROR(__xludf.DUMMYFUNCTION("""COMPUTED_VALUE"""),"09:15 AM -  10:10 AM")</f>
        <v>09:15 AM -  10:10 AM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>
      <c r="A15" s="3"/>
      <c r="B15" s="3" t="str">
        <f>IFERROR(__xludf.DUMMYFUNCTION("""COMPUTED_VALUE"""),"10:15 AM -  11:10 AM")</f>
        <v>10:15 AM -  11:10 AM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str">
        <f>IFERROR(__xludf.DUMMYFUNCTION("""COMPUTED_VALUE"""),"Day")</f>
        <v>Day</v>
      </c>
      <c r="Z15" s="3" t="str">
        <f>IFERROR(__xludf.DUMMYFUNCTION("""COMPUTED_VALUE"""),"Time")</f>
        <v>Time</v>
      </c>
      <c r="AA15" s="3" t="str">
        <f>IFERROR(__xludf.DUMMYFUNCTION("""COMPUTED_VALUE"""),"Section")</f>
        <v>Section</v>
      </c>
      <c r="AB15" s="3" t="str">
        <f>IFERROR(__xludf.DUMMYFUNCTION("""COMPUTED_VALUE"""),"Lab In charge
Faculty-1")</f>
        <v>Lab In charge
Faculty-1</v>
      </c>
      <c r="AC15" s="3" t="str">
        <f>IFERROR(__xludf.DUMMYFUNCTION("""COMPUTED_VALUE"""),"Lab
Faculty-2")</f>
        <v>Lab
Faculty-2</v>
      </c>
      <c r="AD15" s="3" t="str">
        <f>IFERROR(__xludf.DUMMYFUNCTION("""COMPUTED_VALUE"""),"Faculty-2 | Slot-1 
Feb 16 to Mar 13")</f>
        <v>Faculty-2 | Slot-1 
Feb 16 to Mar 13</v>
      </c>
      <c r="AE15" s="3"/>
      <c r="AF15" s="3" t="str">
        <f>IFERROR(__xludf.DUMMYFUNCTION("""COMPUTED_VALUE"""),"Faculty-2 | Slot-3 
Apr 13 to May 08")</f>
        <v>Faculty-2 | Slot-3 
Apr 13 to May 08</v>
      </c>
    </row>
    <row r="16">
      <c r="A16" s="3"/>
      <c r="B16" s="3" t="str">
        <f>IFERROR(__xludf.DUMMYFUNCTION("""COMPUTED_VALUE"""),"11.15 AM - 12.10 PM")</f>
        <v>11.15 AM - 12.10 PM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 t="str">
        <f>IFERROR(__xludf.DUMMYFUNCTION("""COMPUTED_VALUE"""),"Monday")</f>
        <v>Monday</v>
      </c>
      <c r="Z16" s="3" t="str">
        <f>IFERROR(__xludf.DUMMYFUNCTION("""COMPUTED_VALUE"""),"9:00 - 10:30")</f>
        <v>9:00 - 10:30</v>
      </c>
      <c r="AA16" s="3"/>
      <c r="AB16" s="3"/>
      <c r="AC16" s="3"/>
      <c r="AD16" s="3"/>
      <c r="AE16" s="3"/>
      <c r="AF16" s="3"/>
    </row>
    <row r="17">
      <c r="A17" s="3"/>
      <c r="B17" s="3" t="str">
        <f>IFERROR(__xludf.DUMMYFUNCTION("""COMPUTED_VALUE"""),"12:15 PM -  12:55 PM")</f>
        <v>12:15 PM -  12:55 PM</v>
      </c>
      <c r="C17" s="3" t="str">
        <f>IFERROR(__xludf.DUMMYFUNCTION("""COMPUTED_VALUE"""),"LUNCH BREAK")</f>
        <v>LUNCH BREAK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tr">
        <f>IFERROR(__xludf.DUMMYFUNCTION("""COMPUTED_VALUE"""),"10:40 - 12:10")</f>
        <v>10:40 - 12:10</v>
      </c>
      <c r="AA17" s="3" t="str">
        <f>IFERROR(__xludf.DUMMYFUNCTION("""COMPUTED_VALUE"""),"Sec7")</f>
        <v>Sec7</v>
      </c>
      <c r="AB17" s="3" t="str">
        <f>IFERROR(__xludf.DUMMYFUNCTION("""COMPUTED_VALUE"""),"Aravindh")</f>
        <v>Aravindh</v>
      </c>
      <c r="AC17" s="3" t="str">
        <f>IFERROR(__xludf.DUMMYFUNCTION("""COMPUTED_VALUE"""),"Angel")</f>
        <v>Angel</v>
      </c>
      <c r="AD17" s="3"/>
      <c r="AE17" s="3"/>
      <c r="AF17" s="3"/>
    </row>
    <row r="18">
      <c r="A18" s="3"/>
      <c r="B18" s="3" t="str">
        <f>IFERROR(__xludf.DUMMYFUNCTION("""COMPUTED_VALUE"""),"12.15 PM - 01.10 PM")</f>
        <v>12.15 PM - 01.10 PM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tr">
        <f>IFERROR(__xludf.DUMMYFUNCTION("""COMPUTED_VALUE"""),"2:10 - 3:35")</f>
        <v>2:10 - 3:35</v>
      </c>
      <c r="AA18" s="3" t="str">
        <f>IFERROR(__xludf.DUMMYFUNCTION("""COMPUTED_VALUE"""),"Sec5")</f>
        <v>Sec5</v>
      </c>
      <c r="AB18" s="3" t="str">
        <f>IFERROR(__xludf.DUMMYFUNCTION("""COMPUTED_VALUE"""),"David")</f>
        <v>David</v>
      </c>
      <c r="AC18" s="3" t="str">
        <f>IFERROR(__xludf.DUMMYFUNCTION("""COMPUTED_VALUE"""),"Mariya")</f>
        <v>Mariya</v>
      </c>
      <c r="AD18" s="3"/>
      <c r="AE18" s="3"/>
      <c r="AF18" s="3"/>
    </row>
    <row r="19">
      <c r="A19" s="3"/>
      <c r="B19" s="3" t="str">
        <f>IFERROR(__xludf.DUMMYFUNCTION("""COMPUTED_VALUE"""),"01:15 PM - 01.55 PM")</f>
        <v>01:15 PM - 01.55 PM</v>
      </c>
      <c r="C19" s="3" t="str">
        <f>IFERROR(__xludf.DUMMYFUNCTION("""COMPUTED_VALUE"""),"LUNCH BREAK")</f>
        <v>LUNCH BREAK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tr">
        <f>IFERROR(__xludf.DUMMYFUNCTION("""COMPUTED_VALUE"""),"3:50 - 5:15")</f>
        <v>3:50 - 5:15</v>
      </c>
      <c r="AA19" s="3" t="str">
        <f>IFERROR(__xludf.DUMMYFUNCTION("""COMPUTED_VALUE"""),"Sec3")</f>
        <v>Sec3</v>
      </c>
      <c r="AB19" s="3" t="str">
        <f>IFERROR(__xludf.DUMMYFUNCTION("""COMPUTED_VALUE"""),"Nitish")</f>
        <v>Nitish</v>
      </c>
      <c r="AC19" s="3" t="str">
        <f>IFERROR(__xludf.DUMMYFUNCTION("""COMPUTED_VALUE"""),"Beaula")</f>
        <v>Beaula</v>
      </c>
      <c r="AD19" s="3"/>
      <c r="AE19" s="3"/>
      <c r="AF19" s="3"/>
    </row>
    <row r="20">
      <c r="A20" s="3"/>
      <c r="B20" s="3" t="str">
        <f>IFERROR(__xludf.DUMMYFUNCTION("""COMPUTED_VALUE"""),"01:00 PM - 01.55 PM")</f>
        <v>01:00 PM - 01.55 PM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>
      <c r="A21" s="3"/>
      <c r="B21" s="3" t="str">
        <f>IFERROR(__xludf.DUMMYFUNCTION("""COMPUTED_VALUE"""),"02.00 PM - 02.55 PM")</f>
        <v>02.00 PM - 02.55 PM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 t="str">
        <f>IFERROR(__xludf.DUMMYFUNCTION("""COMPUTED_VALUE"""),"Tuesday")</f>
        <v>Tuesday</v>
      </c>
      <c r="Z21" s="3" t="str">
        <f>IFERROR(__xludf.DUMMYFUNCTION("""COMPUTED_VALUE"""),"9:00 - 10:30")</f>
        <v>9:00 - 10:30</v>
      </c>
      <c r="AA21" s="3"/>
      <c r="AB21" s="3"/>
      <c r="AC21" s="3"/>
      <c r="AD21" s="3"/>
      <c r="AE21" s="3"/>
      <c r="AF21" s="3"/>
    </row>
    <row r="22">
      <c r="A22" s="3"/>
      <c r="B22" s="3" t="str">
        <f>IFERROR(__xludf.DUMMYFUNCTION("""COMPUTED_VALUE"""),"03.00 PM - 03.55 PM")</f>
        <v>03.00 PM - 03.55 PM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tr">
        <f>IFERROR(__xludf.DUMMYFUNCTION("""COMPUTED_VALUE"""),"10:40 - 12:10")</f>
        <v>10:40 - 12:10</v>
      </c>
      <c r="AA22" s="3"/>
      <c r="AB22" s="3"/>
      <c r="AC22" s="3"/>
      <c r="AD22" s="3"/>
      <c r="AE22" s="3"/>
      <c r="AF22" s="3"/>
    </row>
    <row r="23">
      <c r="A23" s="3"/>
      <c r="B23" s="3" t="str">
        <f>IFERROR(__xludf.DUMMYFUNCTION("""COMPUTED_VALUE"""),"04.00 PM - 04.55 PM")</f>
        <v>04.00 PM - 04.55 PM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tr">
        <f>IFERROR(__xludf.DUMMYFUNCTION("""COMPUTED_VALUE"""),"12:20 - 1:40")</f>
        <v>12:20 - 1:40</v>
      </c>
      <c r="AA23" s="3" t="str">
        <f>IFERROR(__xludf.DUMMYFUNCTION("""COMPUTED_VALUE"""),"Sec2")</f>
        <v>Sec2</v>
      </c>
      <c r="AB23" s="3" t="str">
        <f>IFERROR(__xludf.DUMMYFUNCTION("""COMPUTED_VALUE"""),"Tamilarasiarasi")</f>
        <v>Tamilarasiarasi</v>
      </c>
      <c r="AC23" s="3" t="str">
        <f>IFERROR(__xludf.DUMMYFUNCTION("""COMPUTED_VALUE"""),"Ashok")</f>
        <v>Ashok</v>
      </c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 t="str">
        <f>IFERROR(__xludf.DUMMYFUNCTION("""COMPUTED_VALUE"""),"Wednesday")</f>
        <v>Wednesday</v>
      </c>
      <c r="B25" s="3" t="str">
        <f>IFERROR(__xludf.DUMMYFUNCTION("""COMPUTED_VALUE"""),"09:15 AM -  10:10 AM")</f>
        <v>09:15 AM -  10:10 AM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tr">
        <f>IFERROR(__xludf.DUMMYFUNCTION("""COMPUTED_VALUE"""),"2:10 - 3:35")</f>
        <v>2:10 - 3:35</v>
      </c>
      <c r="AA25" s="3"/>
      <c r="AB25" s="3"/>
      <c r="AC25" s="3"/>
      <c r="AD25" s="3"/>
      <c r="AE25" s="3"/>
      <c r="AF25" s="3"/>
    </row>
    <row r="26">
      <c r="A26" s="3"/>
      <c r="B26" s="3" t="str">
        <f>IFERROR(__xludf.DUMMYFUNCTION("""COMPUTED_VALUE"""),"10:15 AM -  11:10 AM")</f>
        <v>10:15 AM -  11:10 AM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tr">
        <f>IFERROR(__xludf.DUMMYFUNCTION("""COMPUTED_VALUE"""),"3:50 - 5:15")</f>
        <v>3:50 - 5:15</v>
      </c>
      <c r="AA26" s="3" t="str">
        <f>IFERROR(__xludf.DUMMYFUNCTION("""COMPUTED_VALUE"""),"Sec1")</f>
        <v>Sec1</v>
      </c>
      <c r="AB26" s="3" t="str">
        <f>IFERROR(__xludf.DUMMYFUNCTION("""COMPUTED_VALUE"""),"Vivekanand")</f>
        <v>Vivekanand</v>
      </c>
      <c r="AC26" s="3"/>
      <c r="AD26" s="3" t="str">
        <f>IFERROR(__xludf.DUMMYFUNCTION("""COMPUTED_VALUE"""),"Ujjwal")</f>
        <v>Ujjwal</v>
      </c>
      <c r="AE26" s="3" t="str">
        <f>IFERROR(__xludf.DUMMYFUNCTION("""COMPUTED_VALUE"""),"Nitish")</f>
        <v>Nitish</v>
      </c>
      <c r="AF26" s="3" t="str">
        <f>IFERROR(__xludf.DUMMYFUNCTION("""COMPUTED_VALUE"""),"Arjun")</f>
        <v>Arjun</v>
      </c>
    </row>
    <row r="27">
      <c r="A27" s="3"/>
      <c r="B27" s="3" t="str">
        <f>IFERROR(__xludf.DUMMYFUNCTION("""COMPUTED_VALUE"""),"11.15 AM - 12.10 PM")</f>
        <v>11.15 AM - 12.10 PM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 t="str">
        <f>IFERROR(__xludf.DUMMYFUNCTION("""COMPUTED_VALUE"""),"12:15 PM -  12:55 PM")</f>
        <v>12:15 PM -  12:55 PM</v>
      </c>
      <c r="C28" s="3" t="str">
        <f>IFERROR(__xludf.DUMMYFUNCTION("""COMPUTED_VALUE"""),"LUNCH BREAK")</f>
        <v>LUNCH BREAK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str">
        <f>IFERROR(__xludf.DUMMYFUNCTION("""COMPUTED_VALUE"""),"Wednesday")</f>
        <v>Wednesday</v>
      </c>
      <c r="Z28" s="3" t="str">
        <f>IFERROR(__xludf.DUMMYFUNCTION("""COMPUTED_VALUE"""),"9:00 - 10:30")</f>
        <v>9:00 - 10:30</v>
      </c>
      <c r="AA28" s="3" t="str">
        <f>IFERROR(__xludf.DUMMYFUNCTION("""COMPUTED_VALUE"""),"Sec4")</f>
        <v>Sec4</v>
      </c>
      <c r="AB28" s="3" t="str">
        <f>IFERROR(__xludf.DUMMYFUNCTION("""COMPUTED_VALUE"""),"Arjun")</f>
        <v>Arjun</v>
      </c>
      <c r="AC28" s="3"/>
      <c r="AD28" s="3" t="str">
        <f>IFERROR(__xludf.DUMMYFUNCTION("""COMPUTED_VALUE"""),"Ashok")</f>
        <v>Ashok</v>
      </c>
      <c r="AE28" s="3" t="str">
        <f>IFERROR(__xludf.DUMMYFUNCTION("""COMPUTED_VALUE"""),"David")</f>
        <v>David</v>
      </c>
      <c r="AF28" s="3" t="str">
        <f>IFERROR(__xludf.DUMMYFUNCTION("""COMPUTED_VALUE"""),"Aravindh")</f>
        <v>Aravindh</v>
      </c>
    </row>
    <row r="29">
      <c r="A29" s="3"/>
      <c r="B29" s="3" t="str">
        <f>IFERROR(__xludf.DUMMYFUNCTION("""COMPUTED_VALUE"""),"12.15 PM - 01.10 PM")</f>
        <v>12.15 PM - 01.10 PM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tr">
        <f>IFERROR(__xludf.DUMMYFUNCTION("""COMPUTED_VALUE"""),"10:40 - 12:10")</f>
        <v>10:40 - 12:10</v>
      </c>
      <c r="AA29" s="3" t="str">
        <f>IFERROR(__xludf.DUMMYFUNCTION("""COMPUTED_VALUE"""),"Sec5")</f>
        <v>Sec5</v>
      </c>
      <c r="AB29" s="3" t="str">
        <f>IFERROR(__xludf.DUMMYFUNCTION("""COMPUTED_VALUE"""),"David")</f>
        <v>David</v>
      </c>
      <c r="AC29" s="3" t="str">
        <f>IFERROR(__xludf.DUMMYFUNCTION("""COMPUTED_VALUE"""),"Mariya")</f>
        <v>Mariya</v>
      </c>
      <c r="AD29" s="3"/>
      <c r="AE29" s="3"/>
      <c r="AF29" s="3"/>
    </row>
    <row r="30">
      <c r="A30" s="3"/>
      <c r="B30" s="3" t="str">
        <f>IFERROR(__xludf.DUMMYFUNCTION("""COMPUTED_VALUE"""),"01:15 PM - 01.55 PM")</f>
        <v>01:15 PM - 01.55 PM</v>
      </c>
      <c r="C30" s="3" t="str">
        <f>IFERROR(__xludf.DUMMYFUNCTION("""COMPUTED_VALUE"""),"LUNCH BREAK")</f>
        <v>LUNCH BREAK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tr">
        <f>IFERROR(__xludf.DUMMYFUNCTION("""COMPUTED_VALUE"""),"12:20 - 1:40")</f>
        <v>12:20 - 1:40</v>
      </c>
      <c r="AA30" s="3" t="str">
        <f>IFERROR(__xludf.DUMMYFUNCTION("""COMPUTED_VALUE"""),"Sec6")</f>
        <v>Sec6</v>
      </c>
      <c r="AB30" s="3" t="str">
        <f>IFERROR(__xludf.DUMMYFUNCTION("""COMPUTED_VALUE"""),"Vishal")</f>
        <v>Vishal</v>
      </c>
      <c r="AC30" s="3"/>
      <c r="AD30" s="3" t="str">
        <f>IFERROR(__xludf.DUMMYFUNCTION("""COMPUTED_VALUE"""),"Tamilarasiarasi")</f>
        <v>Tamilarasiarasi</v>
      </c>
      <c r="AE30" s="3" t="str">
        <f>IFERROR(__xludf.DUMMYFUNCTION("""COMPUTED_VALUE"""),"Beaula")</f>
        <v>Beaula</v>
      </c>
      <c r="AF30" s="3" t="str">
        <f>IFERROR(__xludf.DUMMYFUNCTION("""COMPUTED_VALUE"""),"Mariya")</f>
        <v>Mariya</v>
      </c>
    </row>
    <row r="31">
      <c r="A31" s="3"/>
      <c r="B31" s="3" t="str">
        <f>IFERROR(__xludf.DUMMYFUNCTION("""COMPUTED_VALUE"""),"01:00 PM - 01.55 PM")</f>
        <v>01:00 PM - 01.55 PM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tr">
        <f>IFERROR(__xludf.DUMMYFUNCTION("""COMPUTED_VALUE"""),"2:10 - 3:35")</f>
        <v>2:10 - 3:35</v>
      </c>
      <c r="AA31" s="3"/>
      <c r="AB31" s="3"/>
      <c r="AC31" s="3"/>
      <c r="AD31" s="3"/>
      <c r="AE31" s="3"/>
      <c r="AF31" s="3"/>
    </row>
    <row r="32">
      <c r="A32" s="3"/>
      <c r="B32" s="3" t="str">
        <f>IFERROR(__xludf.DUMMYFUNCTION("""COMPUTED_VALUE"""),"02.00 PM - 02.55 PM")</f>
        <v>02.00 PM - 02.55 PM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tr">
        <f>IFERROR(__xludf.DUMMYFUNCTION("""COMPUTED_VALUE"""),"3:50 - 5:15")</f>
        <v>3:50 - 5:15</v>
      </c>
      <c r="AA32" s="3"/>
      <c r="AB32" s="3"/>
      <c r="AC32" s="3"/>
      <c r="AD32" s="3"/>
      <c r="AE32" s="3"/>
      <c r="AF32" s="3"/>
    </row>
    <row r="33">
      <c r="A33" s="3"/>
      <c r="B33" s="3" t="str">
        <f>IFERROR(__xludf.DUMMYFUNCTION("""COMPUTED_VALUE"""),"03.00 PM - 03.55 PM")</f>
        <v>03.00 PM - 03.55 PM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 t="str">
        <f>IFERROR(__xludf.DUMMYFUNCTION("""COMPUTED_VALUE"""),"04.00 PM - 04.55 PM")</f>
        <v>04.00 PM - 04.55 PM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str">
        <f>IFERROR(__xludf.DUMMYFUNCTION("""COMPUTED_VALUE"""),"Thursday")</f>
        <v>Thursday</v>
      </c>
      <c r="Z34" s="3" t="str">
        <f>IFERROR(__xludf.DUMMYFUNCTION("""COMPUTED_VALUE"""),"9:00 - 10:30")</f>
        <v>9:00 - 10:30</v>
      </c>
      <c r="AA34" s="3" t="str">
        <f>IFERROR(__xludf.DUMMYFUNCTION("""COMPUTED_VALUE"""),"Sec7")</f>
        <v>Sec7</v>
      </c>
      <c r="AB34" s="3" t="str">
        <f>IFERROR(__xludf.DUMMYFUNCTION("""COMPUTED_VALUE"""),"Aravindh")</f>
        <v>Aravindh</v>
      </c>
      <c r="AC34" s="3" t="str">
        <f>IFERROR(__xludf.DUMMYFUNCTION("""COMPUTED_VALUE"""),"Angel")</f>
        <v>Angel</v>
      </c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 t="str">
        <f>IFERROR(__xludf.DUMMYFUNCTION("""COMPUTED_VALUE"""),"Thursday")</f>
        <v>Thursday</v>
      </c>
      <c r="B36" s="3" t="str">
        <f>IFERROR(__xludf.DUMMYFUNCTION("""COMPUTED_VALUE"""),"09:15 AM -  10:10 AM")</f>
        <v>09:15 AM -  10:10 AM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tr">
        <f>IFERROR(__xludf.DUMMYFUNCTION("""COMPUTED_VALUE"""),"10:40 - 12:10")</f>
        <v>10:40 - 12:10</v>
      </c>
      <c r="AA36" s="3" t="str">
        <f>IFERROR(__xludf.DUMMYFUNCTION("""COMPUTED_VALUE"""),"Sec4")</f>
        <v>Sec4</v>
      </c>
      <c r="AB36" s="3" t="str">
        <f>IFERROR(__xludf.DUMMYFUNCTION("""COMPUTED_VALUE"""),"Arjun")</f>
        <v>Arjun</v>
      </c>
      <c r="AC36" s="3"/>
      <c r="AD36" s="3" t="str">
        <f>IFERROR(__xludf.DUMMYFUNCTION("""COMPUTED_VALUE"""),"Ashok")</f>
        <v>Ashok</v>
      </c>
      <c r="AE36" s="3" t="str">
        <f>IFERROR(__xludf.DUMMYFUNCTION("""COMPUTED_VALUE"""),"David")</f>
        <v>David</v>
      </c>
      <c r="AF36" s="3" t="str">
        <f>IFERROR(__xludf.DUMMYFUNCTION("""COMPUTED_VALUE"""),"Aravindh")</f>
        <v>Aravindh</v>
      </c>
    </row>
    <row r="37">
      <c r="A37" s="3"/>
      <c r="B37" s="3" t="str">
        <f>IFERROR(__xludf.DUMMYFUNCTION("""COMPUTED_VALUE"""),"10:15 AM -  11:10 AM")</f>
        <v>10:15 AM -  11:10 AM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tr">
        <f>IFERROR(__xludf.DUMMYFUNCTION("""COMPUTED_VALUE"""),"12:20 - 1:40")</f>
        <v>12:20 - 1:40</v>
      </c>
      <c r="AA37" s="3" t="str">
        <f>IFERROR(__xludf.DUMMYFUNCTION("""COMPUTED_VALUE"""),"Sec3")</f>
        <v>Sec3</v>
      </c>
      <c r="AB37" s="3" t="str">
        <f>IFERROR(__xludf.DUMMYFUNCTION("""COMPUTED_VALUE"""),"Nitish")</f>
        <v>Nitish</v>
      </c>
      <c r="AC37" s="3" t="str">
        <f>IFERROR(__xludf.DUMMYFUNCTION("""COMPUTED_VALUE"""),"Beaula")</f>
        <v>Beaula</v>
      </c>
      <c r="AD37" s="3"/>
      <c r="AE37" s="3"/>
      <c r="AF37" s="3"/>
    </row>
    <row r="38">
      <c r="A38" s="3"/>
      <c r="B38" s="3" t="str">
        <f>IFERROR(__xludf.DUMMYFUNCTION("""COMPUTED_VALUE"""),"11.15 AM - 12.10 PM")</f>
        <v>11.15 AM - 12.10 PM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tr">
        <f>IFERROR(__xludf.DUMMYFUNCTION("""COMPUTED_VALUE"""),"2:10 - 3:35")</f>
        <v>2:10 - 3:35</v>
      </c>
      <c r="AA38" s="3"/>
      <c r="AB38" s="3"/>
      <c r="AC38" s="3"/>
      <c r="AD38" s="3"/>
      <c r="AE38" s="3"/>
      <c r="AF38" s="3"/>
    </row>
    <row r="39">
      <c r="A39" s="3"/>
      <c r="B39" s="3" t="str">
        <f>IFERROR(__xludf.DUMMYFUNCTION("""COMPUTED_VALUE"""),"12:15 PM -  12:55 PM")</f>
        <v>12:15 PM -  12:55 PM</v>
      </c>
      <c r="C39" s="3" t="str">
        <f>IFERROR(__xludf.DUMMYFUNCTION("""COMPUTED_VALUE"""),"LUNCH BREAK")</f>
        <v>LUNCH BREAK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tr">
        <f>IFERROR(__xludf.DUMMYFUNCTION("""COMPUTED_VALUE"""),"3:50 - 5:15")</f>
        <v>3:50 - 5:15</v>
      </c>
      <c r="AA39" s="3" t="str">
        <f>IFERROR(__xludf.DUMMYFUNCTION("""COMPUTED_VALUE"""),"Sec8")</f>
        <v>Sec8</v>
      </c>
      <c r="AB39" s="3" t="str">
        <f>IFERROR(__xludf.DUMMYFUNCTION("""COMPUTED_VALUE"""),"Ujjwal")</f>
        <v>Ujjwal</v>
      </c>
      <c r="AC39" s="3"/>
      <c r="AD39" s="3" t="str">
        <f>IFERROR(__xludf.DUMMYFUNCTION("""COMPUTED_VALUE"""),"Vivekanand")</f>
        <v>Vivekanand</v>
      </c>
      <c r="AE39" s="3" t="str">
        <f>IFERROR(__xludf.DUMMYFUNCTION("""COMPUTED_VALUE"""),"Vishal")</f>
        <v>Vishal</v>
      </c>
      <c r="AF39" s="3" t="str">
        <f>IFERROR(__xludf.DUMMYFUNCTION("""COMPUTED_VALUE"""),"Angel")</f>
        <v>Angel</v>
      </c>
    </row>
    <row r="40">
      <c r="A40" s="3"/>
      <c r="B40" s="3" t="str">
        <f>IFERROR(__xludf.DUMMYFUNCTION("""COMPUTED_VALUE"""),"12.15 PM - 01.10 PM")</f>
        <v>12.15 PM - 01.10 PM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 t="str">
        <f>IFERROR(__xludf.DUMMYFUNCTION("""COMPUTED_VALUE"""),"01:15 PM - 01.55 PM")</f>
        <v>01:15 PM - 01.55 PM</v>
      </c>
      <c r="C41" s="3" t="str">
        <f>IFERROR(__xludf.DUMMYFUNCTION("""COMPUTED_VALUE"""),"LUNCH BREAK")</f>
        <v>LUNCH BREAK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 t="str">
        <f>IFERROR(__xludf.DUMMYFUNCTION("""COMPUTED_VALUE"""),"Friday")</f>
        <v>Friday</v>
      </c>
      <c r="Z41" s="3" t="str">
        <f>IFERROR(__xludf.DUMMYFUNCTION("""COMPUTED_VALUE"""),"9:00 - 10:30")</f>
        <v>9:00 - 10:30</v>
      </c>
      <c r="AA41" s="3" t="str">
        <f>IFERROR(__xludf.DUMMYFUNCTION("""COMPUTED_VALUE"""),"Sec8")</f>
        <v>Sec8</v>
      </c>
      <c r="AB41" s="3" t="str">
        <f>IFERROR(__xludf.DUMMYFUNCTION("""COMPUTED_VALUE"""),"Ujjwal")</f>
        <v>Ujjwal</v>
      </c>
      <c r="AC41" s="3"/>
      <c r="AD41" s="3" t="str">
        <f>IFERROR(__xludf.DUMMYFUNCTION("""COMPUTED_VALUE"""),"Vivekanand")</f>
        <v>Vivekanand</v>
      </c>
      <c r="AE41" s="3" t="str">
        <f>IFERROR(__xludf.DUMMYFUNCTION("""COMPUTED_VALUE"""),"Vishal")</f>
        <v>Vishal</v>
      </c>
      <c r="AF41" s="3" t="str">
        <f>IFERROR(__xludf.DUMMYFUNCTION("""COMPUTED_VALUE"""),"Angel")</f>
        <v>Angel</v>
      </c>
    </row>
    <row r="42">
      <c r="A42" s="3"/>
      <c r="B42" s="3" t="str">
        <f>IFERROR(__xludf.DUMMYFUNCTION("""COMPUTED_VALUE"""),"01:00 PM - 01.55 PM")</f>
        <v>01:00 PM - 01.55 PM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tr">
        <f>IFERROR(__xludf.DUMMYFUNCTION("""COMPUTED_VALUE"""),"10:40 - 12:10")</f>
        <v>10:40 - 12:10</v>
      </c>
      <c r="AA42" s="3" t="str">
        <f>IFERROR(__xludf.DUMMYFUNCTION("""COMPUTED_VALUE"""),"Sec2")</f>
        <v>Sec2</v>
      </c>
      <c r="AB42" s="3" t="str">
        <f>IFERROR(__xludf.DUMMYFUNCTION("""COMPUTED_VALUE"""),"Tamilarasiarasi")</f>
        <v>Tamilarasiarasi</v>
      </c>
      <c r="AC42" s="3" t="str">
        <f>IFERROR(__xludf.DUMMYFUNCTION("""COMPUTED_VALUE"""),"Ashok")</f>
        <v>Ashok</v>
      </c>
      <c r="AD42" s="3"/>
      <c r="AE42" s="3"/>
      <c r="AF42" s="3"/>
    </row>
    <row r="43">
      <c r="A43" s="3"/>
      <c r="B43" s="3" t="str">
        <f>IFERROR(__xludf.DUMMYFUNCTION("""COMPUTED_VALUE"""),"02.00 PM - 02.55 PM")</f>
        <v>02.00 PM - 02.55 PM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tr">
        <f>IFERROR(__xludf.DUMMYFUNCTION("""COMPUTED_VALUE"""),"12:20 - 1:40")</f>
        <v>12:20 - 1:40</v>
      </c>
      <c r="AA43" s="3"/>
      <c r="AB43" s="3"/>
      <c r="AC43" s="3"/>
      <c r="AD43" s="3"/>
      <c r="AE43" s="3"/>
      <c r="AF43" s="3"/>
    </row>
    <row r="44">
      <c r="A44" s="3"/>
      <c r="B44" s="3" t="str">
        <f>IFERROR(__xludf.DUMMYFUNCTION("""COMPUTED_VALUE"""),"03.00 PM - 03.55 PM")</f>
        <v>03.00 PM - 03.55 PM</v>
      </c>
      <c r="C44" s="3" t="str">
        <f>IFERROR(__xludf.DUMMYFUNCTION("""COMPUTED_VALUE"""),"Et sec2 david")</f>
        <v>Et sec2 david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tr">
        <f>IFERROR(__xludf.DUMMYFUNCTION("""COMPUTED_VALUE"""),"2:10 - 3:35")</f>
        <v>2:10 - 3:35</v>
      </c>
      <c r="AA44" s="3" t="str">
        <f>IFERROR(__xludf.DUMMYFUNCTION("""COMPUTED_VALUE"""),"Sec1")</f>
        <v>Sec1</v>
      </c>
      <c r="AB44" s="3" t="str">
        <f>IFERROR(__xludf.DUMMYFUNCTION("""COMPUTED_VALUE"""),"Vivekanand")</f>
        <v>Vivekanand</v>
      </c>
      <c r="AC44" s="3"/>
      <c r="AD44" s="3" t="str">
        <f>IFERROR(__xludf.DUMMYFUNCTION("""COMPUTED_VALUE"""),"Ujjwal")</f>
        <v>Ujjwal</v>
      </c>
      <c r="AE44" s="3" t="str">
        <f>IFERROR(__xludf.DUMMYFUNCTION("""COMPUTED_VALUE"""),"Nitish")</f>
        <v>Nitish</v>
      </c>
      <c r="AF44" s="3" t="str">
        <f>IFERROR(__xludf.DUMMYFUNCTION("""COMPUTED_VALUE"""),"Arjun")</f>
        <v>Arjun</v>
      </c>
    </row>
    <row r="45">
      <c r="A45" s="3"/>
      <c r="B45" s="3" t="str">
        <f>IFERROR(__xludf.DUMMYFUNCTION("""COMPUTED_VALUE"""),"04.00 PM - 04.55 PM")</f>
        <v>04.00 PM - 04.55 PM</v>
      </c>
      <c r="C45" s="3" t="str">
        <f>IFERROR(__xludf.DUMMYFUNCTION("""COMPUTED_VALUE"""),"Et sec2 david")</f>
        <v>Et sec2 david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tr">
        <f>IFERROR(__xludf.DUMMYFUNCTION("""COMPUTED_VALUE"""),"3:50 - 5:15")</f>
        <v>3:50 - 5:15</v>
      </c>
      <c r="AA45" s="3" t="str">
        <f>IFERROR(__xludf.DUMMYFUNCTION("""COMPUTED_VALUE"""),"Sec6")</f>
        <v>Sec6</v>
      </c>
      <c r="AB45" s="3" t="str">
        <f>IFERROR(__xludf.DUMMYFUNCTION("""COMPUTED_VALUE"""),"Vishal")</f>
        <v>Vishal</v>
      </c>
      <c r="AC45" s="3"/>
      <c r="AD45" s="3" t="str">
        <f>IFERROR(__xludf.DUMMYFUNCTION("""COMPUTED_VALUE"""),"Tamilarasiarasi")</f>
        <v>Tamilarasiarasi</v>
      </c>
      <c r="AE45" s="3" t="str">
        <f>IFERROR(__xludf.DUMMYFUNCTION("""COMPUTED_VALUE"""),"Beaula")</f>
        <v>Beaula</v>
      </c>
      <c r="AF45" s="3" t="str">
        <f>IFERROR(__xludf.DUMMYFUNCTION("""COMPUTED_VALUE"""),"Mariya")</f>
        <v>Mariya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 t="str">
        <f>IFERROR(__xludf.DUMMYFUNCTION("""COMPUTED_VALUE"""),"Friday")</f>
        <v>Friday</v>
      </c>
      <c r="B47" s="3" t="str">
        <f>IFERROR(__xludf.DUMMYFUNCTION("""COMPUTED_VALUE"""),"09:15 AM -  10:10 AM")</f>
        <v>09:15 AM -  10:10 AM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 t="str">
        <f>IFERROR(__xludf.DUMMYFUNCTION("""COMPUTED_VALUE"""),"10:15 AM -  11:10 AM")</f>
        <v>10:15 AM -  11:10 AM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 t="str">
        <f>IFERROR(__xludf.DUMMYFUNCTION("""COMPUTED_VALUE"""),"11.15 AM - 12.10 PM")</f>
        <v>11.15 AM - 12.10 PM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 t="str">
        <f>IFERROR(__xludf.DUMMYFUNCTION("""COMPUTED_VALUE"""),"12:15 PM -  12:55 PM")</f>
        <v>12:15 PM -  12:55 PM</v>
      </c>
      <c r="C50" s="3" t="str">
        <f>IFERROR(__xludf.DUMMYFUNCTION("""COMPUTED_VALUE"""),"LUNCH BREAK")</f>
        <v>LUNCH BREAK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 t="str">
        <f>IFERROR(__xludf.DUMMYFUNCTION("""COMPUTED_VALUE"""),"12.15 PM - 01.10 PM")</f>
        <v>12.15 PM - 01.10 PM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 t="str">
        <f>IFERROR(__xludf.DUMMYFUNCTION("""COMPUTED_VALUE"""),"01:15 PM - 01.55 PM")</f>
        <v>01:15 PM - 01.55 PM</v>
      </c>
      <c r="C52" s="3" t="str">
        <f>IFERROR(__xludf.DUMMYFUNCTION("""COMPUTED_VALUE"""),"LUNCH BREAK")</f>
        <v>LUNCH BREAK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 t="str">
        <f>IFERROR(__xludf.DUMMYFUNCTION("""COMPUTED_VALUE"""),"01:00 PM - 01.55 PM")</f>
        <v>01:00 PM - 01.55 PM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 t="str">
        <f>IFERROR(__xludf.DUMMYFUNCTION("""COMPUTED_VALUE"""),"02.00 PM - 02.55 PM")</f>
        <v>02.00 PM - 02.55 PM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 t="str">
        <f>IFERROR(__xludf.DUMMYFUNCTION("""COMPUTED_VALUE"""),"03.00 PM - 03.55 PM")</f>
        <v>03.00 PM - 03.55 PM</v>
      </c>
      <c r="C55" s="3" t="str">
        <f>IFERROR(__xludf.DUMMYFUNCTION("""COMPUTED_VALUE"""),"ET sec1 arjun")</f>
        <v>ET sec1 arjun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 t="str">
        <f>IFERROR(__xludf.DUMMYFUNCTION("""COMPUTED_VALUE"""),"04.00 PM - 04.55 PM")</f>
        <v>04.00 PM - 04.55 PM</v>
      </c>
      <c r="C56" s="3" t="str">
        <f>IFERROR(__xludf.DUMMYFUNCTION("""COMPUTED_VALUE"""),"ET sec1 arjun")</f>
        <v>ET sec1 arjun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IFERROR(__xludf.DUMMYFUNCTION("IMPORTRANGE(""1M3jl6_D3EBy-5b1xjv0RLgGaEMymcJAVr9RNnsxkVp0"",""Programming in C Lab (CS121) Schedule!A:Z"")"),"Programming in C Lab (CS121) Schedule")</f>
        <v>Programming in C Lab (CS121) Schedule</v>
      </c>
      <c r="B1" s="3"/>
      <c r="C1" s="3"/>
      <c r="D1" s="3" t="str">
        <f>IFERROR(__xludf.DUMMYFUNCTION("""COMPUTED_VALUE"""),"  ")</f>
        <v>  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tr">
        <f>IFERROR(__xludf.DUMMYFUNCTION("""COMPUTED_VALUE"""),"Day")</f>
        <v>Day</v>
      </c>
      <c r="B2" s="3" t="str">
        <f>IFERROR(__xludf.DUMMYFUNCTION("""COMPUTED_VALUE"""),"Time")</f>
        <v>Time</v>
      </c>
      <c r="C2" s="3" t="str">
        <f>IFERROR(__xludf.DUMMYFUNCTION("""COMPUTED_VALUE"""),"Section")</f>
        <v>Section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tr">
        <f>IFERROR(__xludf.DUMMYFUNCTION("""COMPUTED_VALUE"""),"PDS Lab")</f>
        <v>PDS Lab</v>
      </c>
      <c r="Z2" s="3"/>
    </row>
    <row r="3">
      <c r="A3" s="3" t="str">
        <f>IFERROR(__xludf.DUMMYFUNCTION("""COMPUTED_VALUE"""),"Monday")</f>
        <v>Monday</v>
      </c>
      <c r="B3" s="3" t="str">
        <f>IFERROR(__xludf.DUMMYFUNCTION("""COMPUTED_VALUE"""),"09:15 AM -  10:10 AM")</f>
        <v>09:15 AM -  10:10 AM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 t="str">
        <f>IFERROR(__xludf.DUMMYFUNCTION("""COMPUTED_VALUE"""),"Section")</f>
        <v>Section</v>
      </c>
      <c r="Z3" s="3" t="str">
        <f>IFERROR(__xludf.DUMMYFUNCTION("""COMPUTED_VALUE"""),"Faculty")</f>
        <v>Faculty</v>
      </c>
    </row>
    <row r="4">
      <c r="A4" s="3"/>
      <c r="B4" s="3" t="str">
        <f>IFERROR(__xludf.DUMMYFUNCTION("""COMPUTED_VALUE"""),"10:15 AM -  11:10 AM")</f>
        <v>10:15 AM -  11:10 AM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tr">
        <f>IFERROR(__xludf.DUMMYFUNCTION("""COMPUTED_VALUE"""),"PDS Lab Sec1")</f>
        <v>PDS Lab Sec1</v>
      </c>
      <c r="Z4" s="3"/>
    </row>
    <row r="5">
      <c r="A5" s="3"/>
      <c r="B5" s="3" t="str">
        <f>IFERROR(__xludf.DUMMYFUNCTION("""COMPUTED_VALUE"""),"11.15 AM - 12.10 PM")</f>
        <v>11.15 AM - 12.10 PM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 t="str">
        <f>IFERROR(__xludf.DUMMYFUNCTION("""COMPUTED_VALUE"""),"PDS Lab Sec2")</f>
        <v>PDS Lab Sec2</v>
      </c>
      <c r="Z5" s="3"/>
    </row>
    <row r="6">
      <c r="A6" s="3"/>
      <c r="B6" s="3" t="str">
        <f>IFERROR(__xludf.DUMMYFUNCTION("""COMPUTED_VALUE"""),"12:15 PM -  12:55 PM")</f>
        <v>12:15 PM -  12:55 PM</v>
      </c>
      <c r="C6" s="3" t="str">
        <f>IFERROR(__xludf.DUMMYFUNCTION("""COMPUTED_VALUE"""),"LUNCH BREAK")</f>
        <v>LUNCH BREAK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 t="str">
        <f>IFERROR(__xludf.DUMMYFUNCTION("""COMPUTED_VALUE"""),"PDS Lab Sec3")</f>
        <v>PDS Lab Sec3</v>
      </c>
      <c r="Z6" s="3"/>
    </row>
    <row r="7">
      <c r="A7" s="3"/>
      <c r="B7" s="3" t="str">
        <f>IFERROR(__xludf.DUMMYFUNCTION("""COMPUTED_VALUE"""),"12.15 PM - 01.10 PM")</f>
        <v>12.15 PM - 01.10 PM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 t="str">
        <f>IFERROR(__xludf.DUMMYFUNCTION("""COMPUTED_VALUE"""),"01:15 PM - 01.55 PM")</f>
        <v>01:15 PM - 01.55 PM</v>
      </c>
      <c r="C8" s="3" t="str">
        <f>IFERROR(__xludf.DUMMYFUNCTION("""COMPUTED_VALUE"""),"LUNCH BREAK")</f>
        <v>LUNCH BREAK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 t="str">
        <f>IFERROR(__xludf.DUMMYFUNCTION("""COMPUTED_VALUE"""),"PDS Lab Sec4")</f>
        <v>PDS Lab Sec4</v>
      </c>
      <c r="Z8" s="3"/>
    </row>
    <row r="9">
      <c r="A9" s="3"/>
      <c r="B9" s="3" t="str">
        <f>IFERROR(__xludf.DUMMYFUNCTION("""COMPUTED_VALUE"""),"01:00 PM - 01.55 PM")</f>
        <v>01:00 PM - 01.55 PM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 t="str">
        <f>IFERROR(__xludf.DUMMYFUNCTION("""COMPUTED_VALUE"""),"PDS Lab Sec5")</f>
        <v>PDS Lab Sec5</v>
      </c>
      <c r="Z9" s="3"/>
    </row>
    <row r="10">
      <c r="A10" s="3"/>
      <c r="B10" s="3" t="str">
        <f>IFERROR(__xludf.DUMMYFUNCTION("""COMPUTED_VALUE"""),"02.00 PM - 02.55 PM")</f>
        <v>02.00 PM - 02.55 PM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 t="str">
        <f>IFERROR(__xludf.DUMMYFUNCTION("""COMPUTED_VALUE"""),"PDS Lab Sec6")</f>
        <v>PDS Lab Sec6</v>
      </c>
      <c r="Z10" s="3"/>
    </row>
    <row r="11">
      <c r="A11" s="3"/>
      <c r="B11" s="3" t="str">
        <f>IFERROR(__xludf.DUMMYFUNCTION("""COMPUTED_VALUE"""),"03.00 PM - 03.55 PM")</f>
        <v>03.00 PM - 03.55 PM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 t="str">
        <f>IFERROR(__xludf.DUMMYFUNCTION("""COMPUTED_VALUE"""),"PDS Lab Sec7")</f>
        <v>PDS Lab Sec7</v>
      </c>
      <c r="Z11" s="3"/>
    </row>
    <row r="12">
      <c r="A12" s="3"/>
      <c r="B12" s="3" t="str">
        <f>IFERROR(__xludf.DUMMYFUNCTION("""COMPUTED_VALUE"""),"04.00 PM - 04.55 PM")</f>
        <v>04.00 PM - 04.55 PM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 t="str">
        <f>IFERROR(__xludf.DUMMYFUNCTION("""COMPUTED_VALUE"""),"PDS Lab Sec8")</f>
        <v>PDS Lab Sec8</v>
      </c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tr">
        <f>IFERROR(__xludf.DUMMYFUNCTION("""COMPUTED_VALUE"""),"Tuesday")</f>
        <v>Tuesday</v>
      </c>
      <c r="B14" s="3" t="str">
        <f>IFERROR(__xludf.DUMMYFUNCTION("""COMPUTED_VALUE"""),"09:15 AM -  10:10 AM")</f>
        <v>09:15 AM -  10:10 AM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 t="str">
        <f>IFERROR(__xludf.DUMMYFUNCTION("""COMPUTED_VALUE"""),"10:15 AM -  11:10 AM")</f>
        <v>10:15 AM -  11:10 AM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str">
        <f>IFERROR(__xludf.DUMMYFUNCTION("""COMPUTED_VALUE"""),"Day")</f>
        <v>Day</v>
      </c>
      <c r="Z15" s="3" t="str">
        <f>IFERROR(__xludf.DUMMYFUNCTION("""COMPUTED_VALUE"""),"Time")</f>
        <v>Time</v>
      </c>
    </row>
    <row r="16">
      <c r="A16" s="3"/>
      <c r="B16" s="3" t="str">
        <f>IFERROR(__xludf.DUMMYFUNCTION("""COMPUTED_VALUE"""),"11.15 AM - 12.10 PM")</f>
        <v>11.15 AM - 12.10 PM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 t="str">
        <f>IFERROR(__xludf.DUMMYFUNCTION("""COMPUTED_VALUE"""),"Monday")</f>
        <v>Monday</v>
      </c>
      <c r="Z16" s="3" t="str">
        <f>IFERROR(__xludf.DUMMYFUNCTION("""COMPUTED_VALUE"""),"9:00 - 10:30")</f>
        <v>9:00 - 10:30</v>
      </c>
    </row>
    <row r="17">
      <c r="A17" s="3"/>
      <c r="B17" s="3" t="str">
        <f>IFERROR(__xludf.DUMMYFUNCTION("""COMPUTED_VALUE"""),"12:15 PM -  12:55 PM")</f>
        <v>12:15 PM -  12:55 PM</v>
      </c>
      <c r="C17" s="3" t="str">
        <f>IFERROR(__xludf.DUMMYFUNCTION("""COMPUTED_VALUE"""),"LUNCH BREAK")</f>
        <v>LUNCH BREAK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tr">
        <f>IFERROR(__xludf.DUMMYFUNCTION("""COMPUTED_VALUE"""),"10:40 - 12:10")</f>
        <v>10:40 - 12:10</v>
      </c>
    </row>
    <row r="18">
      <c r="A18" s="3"/>
      <c r="B18" s="3" t="str">
        <f>IFERROR(__xludf.DUMMYFUNCTION("""COMPUTED_VALUE"""),"12.15 PM - 01.10 PM")</f>
        <v>12.15 PM - 01.10 PM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tr">
        <f>IFERROR(__xludf.DUMMYFUNCTION("""COMPUTED_VALUE"""),"2:10 - 3:35")</f>
        <v>2:10 - 3:35</v>
      </c>
    </row>
    <row r="19">
      <c r="A19" s="3"/>
      <c r="B19" s="3" t="str">
        <f>IFERROR(__xludf.DUMMYFUNCTION("""COMPUTED_VALUE"""),"01:15 PM - 01.55 PM")</f>
        <v>01:15 PM - 01.55 PM</v>
      </c>
      <c r="C19" s="3" t="str">
        <f>IFERROR(__xludf.DUMMYFUNCTION("""COMPUTED_VALUE"""),"LUNCH BREAK")</f>
        <v>LUNCH BREAK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tr">
        <f>IFERROR(__xludf.DUMMYFUNCTION("""COMPUTED_VALUE"""),"3:50 - 5:15")</f>
        <v>3:50 - 5:15</v>
      </c>
    </row>
    <row r="20">
      <c r="A20" s="3"/>
      <c r="B20" s="3" t="str">
        <f>IFERROR(__xludf.DUMMYFUNCTION("""COMPUTED_VALUE"""),"01:00 PM - 01.55 PM")</f>
        <v>01:00 PM - 01.55 PM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 t="str">
        <f>IFERROR(__xludf.DUMMYFUNCTION("""COMPUTED_VALUE"""),"02.00 PM - 02.55 PM")</f>
        <v>02.00 PM - 02.55 PM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 t="str">
        <f>IFERROR(__xludf.DUMMYFUNCTION("""COMPUTED_VALUE"""),"Tuesday")</f>
        <v>Tuesday</v>
      </c>
      <c r="Z21" s="3" t="str">
        <f>IFERROR(__xludf.DUMMYFUNCTION("""COMPUTED_VALUE"""),"9:00 - 10:30")</f>
        <v>9:00 - 10:30</v>
      </c>
    </row>
    <row r="22">
      <c r="A22" s="3"/>
      <c r="B22" s="3" t="str">
        <f>IFERROR(__xludf.DUMMYFUNCTION("""COMPUTED_VALUE"""),"03.00 PM - 03.55 PM")</f>
        <v>03.00 PM - 03.55 PM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tr">
        <f>IFERROR(__xludf.DUMMYFUNCTION("""COMPUTED_VALUE"""),"10:40 - 12:10")</f>
        <v>10:40 - 12:10</v>
      </c>
    </row>
    <row r="23">
      <c r="A23" s="3"/>
      <c r="B23" s="3" t="str">
        <f>IFERROR(__xludf.DUMMYFUNCTION("""COMPUTED_VALUE"""),"04.00 PM - 04.55 PM")</f>
        <v>04.00 PM - 04.55 PM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tr">
        <f>IFERROR(__xludf.DUMMYFUNCTION("""COMPUTED_VALUE"""),"12:20 - 1:40")</f>
        <v>12:20 - 1:40</v>
      </c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tr">
        <f>IFERROR(__xludf.DUMMYFUNCTION("""COMPUTED_VALUE"""),"Wednesday")</f>
        <v>Wednesday</v>
      </c>
      <c r="B25" s="3" t="str">
        <f>IFERROR(__xludf.DUMMYFUNCTION("""COMPUTED_VALUE"""),"09:15 AM -  10:10 AM")</f>
        <v>09:15 AM -  10:10 AM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tr">
        <f>IFERROR(__xludf.DUMMYFUNCTION("""COMPUTED_VALUE"""),"2:10 - 3:35")</f>
        <v>2:10 - 3:35</v>
      </c>
    </row>
    <row r="26">
      <c r="A26" s="3"/>
      <c r="B26" s="3" t="str">
        <f>IFERROR(__xludf.DUMMYFUNCTION("""COMPUTED_VALUE"""),"10:15 AM -  11:10 AM")</f>
        <v>10:15 AM -  11:10 AM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tr">
        <f>IFERROR(__xludf.DUMMYFUNCTION("""COMPUTED_VALUE"""),"3:50 - 5:15")</f>
        <v>3:50 - 5:15</v>
      </c>
    </row>
    <row r="27">
      <c r="A27" s="3"/>
      <c r="B27" s="3" t="str">
        <f>IFERROR(__xludf.DUMMYFUNCTION("""COMPUTED_VALUE"""),"11.15 AM - 12.10 PM")</f>
        <v>11.15 AM - 12.10 PM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 t="str">
        <f>IFERROR(__xludf.DUMMYFUNCTION("""COMPUTED_VALUE"""),"12:15 PM -  12:55 PM")</f>
        <v>12:15 PM -  12:55 PM</v>
      </c>
      <c r="C28" s="3" t="str">
        <f>IFERROR(__xludf.DUMMYFUNCTION("""COMPUTED_VALUE"""),"LUNCH BREAK")</f>
        <v>LUNCH BREAK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str">
        <f>IFERROR(__xludf.DUMMYFUNCTION("""COMPUTED_VALUE"""),"Wednesday")</f>
        <v>Wednesday</v>
      </c>
      <c r="Z28" s="3" t="str">
        <f>IFERROR(__xludf.DUMMYFUNCTION("""COMPUTED_VALUE"""),"9:00 - 10:30")</f>
        <v>9:00 - 10:30</v>
      </c>
    </row>
    <row r="29">
      <c r="A29" s="3"/>
      <c r="B29" s="3" t="str">
        <f>IFERROR(__xludf.DUMMYFUNCTION("""COMPUTED_VALUE"""),"12.15 PM - 01.10 PM")</f>
        <v>12.15 PM - 01.10 PM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tr">
        <f>IFERROR(__xludf.DUMMYFUNCTION("""COMPUTED_VALUE"""),"10:40 - 12:10")</f>
        <v>10:40 - 12:10</v>
      </c>
    </row>
    <row r="30">
      <c r="A30" s="3"/>
      <c r="B30" s="3" t="str">
        <f>IFERROR(__xludf.DUMMYFUNCTION("""COMPUTED_VALUE"""),"01:15 PM - 01.55 PM")</f>
        <v>01:15 PM - 01.55 PM</v>
      </c>
      <c r="C30" s="3" t="str">
        <f>IFERROR(__xludf.DUMMYFUNCTION("""COMPUTED_VALUE"""),"LUNCH BREAK")</f>
        <v>LUNCH BREAK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tr">
        <f>IFERROR(__xludf.DUMMYFUNCTION("""COMPUTED_VALUE"""),"12:20 - 1:40")</f>
        <v>12:20 - 1:40</v>
      </c>
    </row>
    <row r="31">
      <c r="A31" s="3"/>
      <c r="B31" s="3" t="str">
        <f>IFERROR(__xludf.DUMMYFUNCTION("""COMPUTED_VALUE"""),"01:00 PM - 01.55 PM")</f>
        <v>01:00 PM - 01.55 PM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tr">
        <f>IFERROR(__xludf.DUMMYFUNCTION("""COMPUTED_VALUE"""),"2:10 - 3:35")</f>
        <v>2:10 - 3:35</v>
      </c>
    </row>
    <row r="32">
      <c r="A32" s="3"/>
      <c r="B32" s="3" t="str">
        <f>IFERROR(__xludf.DUMMYFUNCTION("""COMPUTED_VALUE"""),"02.00 PM - 02.55 PM")</f>
        <v>02.00 PM - 02.55 PM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tr">
        <f>IFERROR(__xludf.DUMMYFUNCTION("""COMPUTED_VALUE"""),"3:50 - 5:15")</f>
        <v>3:50 - 5:15</v>
      </c>
    </row>
    <row r="33">
      <c r="A33" s="3"/>
      <c r="B33" s="3" t="str">
        <f>IFERROR(__xludf.DUMMYFUNCTION("""COMPUTED_VALUE"""),"03.00 PM - 03.55 PM")</f>
        <v>03.00 PM - 03.55 PM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 t="str">
        <f>IFERROR(__xludf.DUMMYFUNCTION("""COMPUTED_VALUE"""),"04.00 PM - 04.55 PM")</f>
        <v>04.00 PM - 04.55 PM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str">
        <f>IFERROR(__xludf.DUMMYFUNCTION("""COMPUTED_VALUE"""),"Thursday")</f>
        <v>Thursday</v>
      </c>
      <c r="Z34" s="3" t="str">
        <f>IFERROR(__xludf.DUMMYFUNCTION("""COMPUTED_VALUE"""),"9:00 - 10:30")</f>
        <v>9:00 - 10:30</v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tr">
        <f>IFERROR(__xludf.DUMMYFUNCTION("""COMPUTED_VALUE"""),"Thursday")</f>
        <v>Thursday</v>
      </c>
      <c r="B36" s="3" t="str">
        <f>IFERROR(__xludf.DUMMYFUNCTION("""COMPUTED_VALUE"""),"09:15 AM -  10:10 AM")</f>
        <v>09:15 AM -  10:10 AM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tr">
        <f>IFERROR(__xludf.DUMMYFUNCTION("""COMPUTED_VALUE"""),"10:40 - 12:10")</f>
        <v>10:40 - 12:10</v>
      </c>
    </row>
    <row r="37">
      <c r="A37" s="3"/>
      <c r="B37" s="3" t="str">
        <f>IFERROR(__xludf.DUMMYFUNCTION("""COMPUTED_VALUE"""),"10:15 AM -  11:10 AM")</f>
        <v>10:15 AM -  11:10 AM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tr">
        <f>IFERROR(__xludf.DUMMYFUNCTION("""COMPUTED_VALUE"""),"12:20 - 1:40")</f>
        <v>12:20 - 1:40</v>
      </c>
    </row>
    <row r="38">
      <c r="A38" s="3"/>
      <c r="B38" s="3" t="str">
        <f>IFERROR(__xludf.DUMMYFUNCTION("""COMPUTED_VALUE"""),"11.15 AM - 12.10 PM")</f>
        <v>11.15 AM - 12.10 PM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tr">
        <f>IFERROR(__xludf.DUMMYFUNCTION("""COMPUTED_VALUE"""),"2:10 - 3:35")</f>
        <v>2:10 - 3:35</v>
      </c>
    </row>
    <row r="39">
      <c r="A39" s="3"/>
      <c r="B39" s="3" t="str">
        <f>IFERROR(__xludf.DUMMYFUNCTION("""COMPUTED_VALUE"""),"12:15 PM -  12:55 PM")</f>
        <v>12:15 PM -  12:55 PM</v>
      </c>
      <c r="C39" s="3" t="str">
        <f>IFERROR(__xludf.DUMMYFUNCTION("""COMPUTED_VALUE"""),"LUNCH BREAK")</f>
        <v>LUNCH BREAK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tr">
        <f>IFERROR(__xludf.DUMMYFUNCTION("""COMPUTED_VALUE"""),"3:50 - 5:15")</f>
        <v>3:50 - 5:15</v>
      </c>
    </row>
    <row r="40">
      <c r="A40" s="3"/>
      <c r="B40" s="3" t="str">
        <f>IFERROR(__xludf.DUMMYFUNCTION("""COMPUTED_VALUE"""),"12.15 PM - 01.10 PM")</f>
        <v>12.15 PM - 01.10 PM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 t="str">
        <f>IFERROR(__xludf.DUMMYFUNCTION("""COMPUTED_VALUE"""),"01:15 PM - 01.55 PM")</f>
        <v>01:15 PM - 01.55 PM</v>
      </c>
      <c r="C41" s="3" t="str">
        <f>IFERROR(__xludf.DUMMYFUNCTION("""COMPUTED_VALUE"""),"LUNCH BREAK")</f>
        <v>LUNCH BREAK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 t="str">
        <f>IFERROR(__xludf.DUMMYFUNCTION("""COMPUTED_VALUE"""),"Friday")</f>
        <v>Friday</v>
      </c>
      <c r="Z41" s="3" t="str">
        <f>IFERROR(__xludf.DUMMYFUNCTION("""COMPUTED_VALUE"""),"9:00 - 10:30")</f>
        <v>9:00 - 10:30</v>
      </c>
    </row>
    <row r="42">
      <c r="A42" s="3"/>
      <c r="B42" s="3" t="str">
        <f>IFERROR(__xludf.DUMMYFUNCTION("""COMPUTED_VALUE"""),"01:00 PM - 01.55 PM")</f>
        <v>01:00 PM - 01.55 PM</v>
      </c>
      <c r="C42" s="3" t="str">
        <f>IFERROR(__xludf.DUMMYFUNCTION("""COMPUTED_VALUE"""),"Programming in C LAB - Sem1 - Ujjwal   (AI Lab)")</f>
        <v>Programming in C LAB - Sem1 - Ujjwal   (AI Lab)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tr">
        <f>IFERROR(__xludf.DUMMYFUNCTION("""COMPUTED_VALUE"""),"10:40 - 12:10")</f>
        <v>10:40 - 12:10</v>
      </c>
    </row>
    <row r="43">
      <c r="A43" s="3"/>
      <c r="B43" s="3" t="str">
        <f>IFERROR(__xludf.DUMMYFUNCTION("""COMPUTED_VALUE"""),"02.00 PM - 02.55 PM")</f>
        <v>02.00 PM - 02.55 PM</v>
      </c>
      <c r="C43" s="3" t="str">
        <f>IFERROR(__xludf.DUMMYFUNCTION("""COMPUTED_VALUE"""),"Programming in C LAB - Sem1 - Ujjwal   (AI Lab)")</f>
        <v>Programming in C LAB - Sem1 - Ujjwal   (AI Lab)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tr">
        <f>IFERROR(__xludf.DUMMYFUNCTION("""COMPUTED_VALUE"""),"12:20 - 1:40")</f>
        <v>12:20 - 1:40</v>
      </c>
    </row>
    <row r="44">
      <c r="A44" s="3"/>
      <c r="B44" s="3" t="str">
        <f>IFERROR(__xludf.DUMMYFUNCTION("""COMPUTED_VALUE"""),"03.00 PM - 03.55 PM")</f>
        <v>03.00 PM - 03.55 PM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tr">
        <f>IFERROR(__xludf.DUMMYFUNCTION("""COMPUTED_VALUE"""),"2:10 - 3:35")</f>
        <v>2:10 - 3:35</v>
      </c>
    </row>
    <row r="45">
      <c r="A45" s="3"/>
      <c r="B45" s="3" t="str">
        <f>IFERROR(__xludf.DUMMYFUNCTION("""COMPUTED_VALUE"""),"04.00 PM - 04.55 PM")</f>
        <v>04.00 PM - 04.55 PM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tr">
        <f>IFERROR(__xludf.DUMMYFUNCTION("""COMPUTED_VALUE"""),"3:50 - 5:15")</f>
        <v>3:50 - 5:15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tr">
        <f>IFERROR(__xludf.DUMMYFUNCTION("""COMPUTED_VALUE"""),"Friday")</f>
        <v>Friday</v>
      </c>
      <c r="B47" s="3" t="str">
        <f>IFERROR(__xludf.DUMMYFUNCTION("""COMPUTED_VALUE"""),"09:15 AM -  10:10 AM")</f>
        <v>09:15 AM -  10:10 AM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 t="str">
        <f>IFERROR(__xludf.DUMMYFUNCTION("""COMPUTED_VALUE"""),"10:15 AM -  11:10 AM")</f>
        <v>10:15 AM -  11:10 AM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 t="str">
        <f>IFERROR(__xludf.DUMMYFUNCTION("""COMPUTED_VALUE"""),"11.15 AM - 12.10 PM")</f>
        <v>11.15 AM - 12.10 PM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 t="str">
        <f>IFERROR(__xludf.DUMMYFUNCTION("""COMPUTED_VALUE"""),"12:15 PM -  12:55 PM")</f>
        <v>12:15 PM -  12:55 PM</v>
      </c>
      <c r="C50" s="3" t="str">
        <f>IFERROR(__xludf.DUMMYFUNCTION("""COMPUTED_VALUE"""),"LUNCH BREAK")</f>
        <v>LUNCH BREAK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 t="str">
        <f>IFERROR(__xludf.DUMMYFUNCTION("""COMPUTED_VALUE"""),"12.15 PM - 01.10 PM")</f>
        <v>12.15 PM - 01.10 PM</v>
      </c>
      <c r="C51" s="3" t="str">
        <f>IFERROR(__xludf.DUMMYFUNCTION("""COMPUTED_VALUE"""),"EFA LAB - Sem1 - Joy")</f>
        <v>EFA LAB - Sem1 - Joy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 t="str">
        <f>IFERROR(__xludf.DUMMYFUNCTION("""COMPUTED_VALUE"""),"01:15 PM - 01.55 PM")</f>
        <v>01:15 PM - 01.55 PM</v>
      </c>
      <c r="C52" s="3" t="str">
        <f>IFERROR(__xludf.DUMMYFUNCTION("""COMPUTED_VALUE"""),"LUNCH BREAK")</f>
        <v>LUNCH BREAK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 t="str">
        <f>IFERROR(__xludf.DUMMYFUNCTION("""COMPUTED_VALUE"""),"01:00 PM - 01.55 PM")</f>
        <v>01:00 PM - 01.55 PM</v>
      </c>
      <c r="C53" s="3" t="str">
        <f>IFERROR(__xludf.DUMMYFUNCTION("""COMPUTED_VALUE"""),"EFA LAB - Sem1 - Joy")</f>
        <v>EFA LAB - Sem1 - Joy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 t="str">
        <f>IFERROR(__xludf.DUMMYFUNCTION("""COMPUTED_VALUE"""),"02.00 PM - 02.55 PM")</f>
        <v>02.00 PM - 02.55 PM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 t="str">
        <f>IFERROR(__xludf.DUMMYFUNCTION("""COMPUTED_VALUE"""),"03.00 PM - 03.55 PM")</f>
        <v>03.00 PM - 03.55 PM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 t="str">
        <f>IFERROR(__xludf.DUMMYFUNCTION("""COMPUTED_VALUE"""),"04.00 PM - 04.55 PM")</f>
        <v>04.00 PM - 04.55 PM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IFERROR(__xludf.DUMMYFUNCTION("IMPORTRANGE(""1M3jl6_D3EBy-5b1xjv0RLgGaEMymcJAVr9RNnsxkVp0"",""Engineering Foundations and Appli (CS128) Schedule!A:Z"")"),"Engineering Foundations and Appli (CS128) Schedule")</f>
        <v>Engineering Foundations and Appli (CS128) Schedule</v>
      </c>
      <c r="B1" s="3"/>
      <c r="C1" s="3"/>
      <c r="D1" s="3" t="str">
        <f>IFERROR(__xludf.DUMMYFUNCTION("""COMPUTED_VALUE"""),"  ")</f>
        <v>  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tr">
        <f>IFERROR(__xludf.DUMMYFUNCTION("""COMPUTED_VALUE"""),"Day")</f>
        <v>Day</v>
      </c>
      <c r="B2" s="3" t="str">
        <f>IFERROR(__xludf.DUMMYFUNCTION("""COMPUTED_VALUE"""),"Time")</f>
        <v>Time</v>
      </c>
      <c r="C2" s="3" t="str">
        <f>IFERROR(__xludf.DUMMYFUNCTION("""COMPUTED_VALUE"""),"Section")</f>
        <v>Section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 t="str">
        <f>IFERROR(__xludf.DUMMYFUNCTION("""COMPUTED_VALUE"""),"PDS Lab")</f>
        <v>PDS Lab</v>
      </c>
      <c r="Z2" s="3"/>
    </row>
    <row r="3">
      <c r="A3" s="3" t="str">
        <f>IFERROR(__xludf.DUMMYFUNCTION("""COMPUTED_VALUE"""),"Monday")</f>
        <v>Monday</v>
      </c>
      <c r="B3" s="3" t="str">
        <f>IFERROR(__xludf.DUMMYFUNCTION("""COMPUTED_VALUE"""),"09:15 AM -  10:10 AM")</f>
        <v>09:15 AM -  10:10 AM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 t="str">
        <f>IFERROR(__xludf.DUMMYFUNCTION("""COMPUTED_VALUE"""),"Section")</f>
        <v>Section</v>
      </c>
      <c r="Z3" s="3" t="str">
        <f>IFERROR(__xludf.DUMMYFUNCTION("""COMPUTED_VALUE"""),"Faculty")</f>
        <v>Faculty</v>
      </c>
    </row>
    <row r="4">
      <c r="A4" s="3"/>
      <c r="B4" s="3" t="str">
        <f>IFERROR(__xludf.DUMMYFUNCTION("""COMPUTED_VALUE"""),"10:15 AM -  11:10 AM")</f>
        <v>10:15 AM -  11:10 AM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 t="str">
        <f>IFERROR(__xludf.DUMMYFUNCTION("""COMPUTED_VALUE"""),"PDS Lab Sec1")</f>
        <v>PDS Lab Sec1</v>
      </c>
      <c r="Z4" s="3"/>
    </row>
    <row r="5">
      <c r="A5" s="3"/>
      <c r="B5" s="3" t="str">
        <f>IFERROR(__xludf.DUMMYFUNCTION("""COMPUTED_VALUE"""),"11.15 AM - 12.10 PM")</f>
        <v>11.15 AM - 12.10 PM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 t="str">
        <f>IFERROR(__xludf.DUMMYFUNCTION("""COMPUTED_VALUE"""),"PDS Lab Sec2")</f>
        <v>PDS Lab Sec2</v>
      </c>
      <c r="Z5" s="3"/>
    </row>
    <row r="6">
      <c r="A6" s="3"/>
      <c r="B6" s="3" t="str">
        <f>IFERROR(__xludf.DUMMYFUNCTION("""COMPUTED_VALUE"""),"12:15 PM -  12:55 PM")</f>
        <v>12:15 PM -  12:55 PM</v>
      </c>
      <c r="C6" s="3" t="str">
        <f>IFERROR(__xludf.DUMMYFUNCTION("""COMPUTED_VALUE"""),"LUNCH BREAK")</f>
        <v>LUNCH BREAK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 t="str">
        <f>IFERROR(__xludf.DUMMYFUNCTION("""COMPUTED_VALUE"""),"PDS Lab Sec3")</f>
        <v>PDS Lab Sec3</v>
      </c>
      <c r="Z6" s="3"/>
    </row>
    <row r="7">
      <c r="A7" s="3"/>
      <c r="B7" s="3" t="str">
        <f>IFERROR(__xludf.DUMMYFUNCTION("""COMPUTED_VALUE"""),"12.15 PM - 01.10 PM")</f>
        <v>12.15 PM - 01.10 PM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 t="str">
        <f>IFERROR(__xludf.DUMMYFUNCTION("""COMPUTED_VALUE"""),"01:15 PM - 01.55 PM")</f>
        <v>01:15 PM - 01.55 PM</v>
      </c>
      <c r="C8" s="3" t="str">
        <f>IFERROR(__xludf.DUMMYFUNCTION("""COMPUTED_VALUE"""),"LUNCH BREAK")</f>
        <v>LUNCH BREAK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 t="str">
        <f>IFERROR(__xludf.DUMMYFUNCTION("""COMPUTED_VALUE"""),"PDS Lab Sec4")</f>
        <v>PDS Lab Sec4</v>
      </c>
      <c r="Z8" s="3"/>
    </row>
    <row r="9">
      <c r="A9" s="3"/>
      <c r="B9" s="3" t="str">
        <f>IFERROR(__xludf.DUMMYFUNCTION("""COMPUTED_VALUE"""),"01:00 PM - 01.55 PM")</f>
        <v>01:00 PM - 01.55 PM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 t="str">
        <f>IFERROR(__xludf.DUMMYFUNCTION("""COMPUTED_VALUE"""),"PDS Lab Sec5")</f>
        <v>PDS Lab Sec5</v>
      </c>
      <c r="Z9" s="3"/>
    </row>
    <row r="10">
      <c r="A10" s="3"/>
      <c r="B10" s="3" t="str">
        <f>IFERROR(__xludf.DUMMYFUNCTION("""COMPUTED_VALUE"""),"02.00 PM - 02.55 PM")</f>
        <v>02.00 PM - 02.55 PM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 t="str">
        <f>IFERROR(__xludf.DUMMYFUNCTION("""COMPUTED_VALUE"""),"PDS Lab Sec6")</f>
        <v>PDS Lab Sec6</v>
      </c>
      <c r="Z10" s="3"/>
    </row>
    <row r="11">
      <c r="A11" s="3"/>
      <c r="B11" s="3" t="str">
        <f>IFERROR(__xludf.DUMMYFUNCTION("""COMPUTED_VALUE"""),"03.00 PM - 03.55 PM")</f>
        <v>03.00 PM - 03.55 PM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 t="str">
        <f>IFERROR(__xludf.DUMMYFUNCTION("""COMPUTED_VALUE"""),"PDS Lab Sec7")</f>
        <v>PDS Lab Sec7</v>
      </c>
      <c r="Z11" s="3"/>
    </row>
    <row r="12">
      <c r="A12" s="3"/>
      <c r="B12" s="3" t="str">
        <f>IFERROR(__xludf.DUMMYFUNCTION("""COMPUTED_VALUE"""),"04.00 PM - 04.55 PM")</f>
        <v>04.00 PM - 04.55 PM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 t="str">
        <f>IFERROR(__xludf.DUMMYFUNCTION("""COMPUTED_VALUE"""),"PDS Lab Sec8")</f>
        <v>PDS Lab Sec8</v>
      </c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tr">
        <f>IFERROR(__xludf.DUMMYFUNCTION("""COMPUTED_VALUE"""),"Tuesday")</f>
        <v>Tuesday</v>
      </c>
      <c r="B14" s="3" t="str">
        <f>IFERROR(__xludf.DUMMYFUNCTION("""COMPUTED_VALUE"""),"09:15 AM -  10:10 AM")</f>
        <v>09:15 AM -  10:10 AM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 t="str">
        <f>IFERROR(__xludf.DUMMYFUNCTION("""COMPUTED_VALUE"""),"10:15 AM -  11:10 AM")</f>
        <v>10:15 AM -  11:10 AM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 t="str">
        <f>IFERROR(__xludf.DUMMYFUNCTION("""COMPUTED_VALUE"""),"Day")</f>
        <v>Day</v>
      </c>
      <c r="Z15" s="3" t="str">
        <f>IFERROR(__xludf.DUMMYFUNCTION("""COMPUTED_VALUE"""),"Time")</f>
        <v>Time</v>
      </c>
    </row>
    <row r="16">
      <c r="A16" s="3"/>
      <c r="B16" s="3" t="str">
        <f>IFERROR(__xludf.DUMMYFUNCTION("""COMPUTED_VALUE"""),"11.15 AM - 12.10 PM")</f>
        <v>11.15 AM - 12.10 PM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 t="str">
        <f>IFERROR(__xludf.DUMMYFUNCTION("""COMPUTED_VALUE"""),"Monday")</f>
        <v>Monday</v>
      </c>
      <c r="Z16" s="3" t="str">
        <f>IFERROR(__xludf.DUMMYFUNCTION("""COMPUTED_VALUE"""),"9:00 - 10:30")</f>
        <v>9:00 - 10:30</v>
      </c>
    </row>
    <row r="17">
      <c r="A17" s="3"/>
      <c r="B17" s="3" t="str">
        <f>IFERROR(__xludf.DUMMYFUNCTION("""COMPUTED_VALUE"""),"12:15 PM -  12:55 PM")</f>
        <v>12:15 PM -  12:55 PM</v>
      </c>
      <c r="C17" s="3" t="str">
        <f>IFERROR(__xludf.DUMMYFUNCTION("""COMPUTED_VALUE"""),"LUNCH BREAK")</f>
        <v>LUNCH BREAK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 t="str">
        <f>IFERROR(__xludf.DUMMYFUNCTION("""COMPUTED_VALUE"""),"10:40 - 12:10")</f>
        <v>10:40 - 12:10</v>
      </c>
    </row>
    <row r="18">
      <c r="A18" s="3"/>
      <c r="B18" s="3" t="str">
        <f>IFERROR(__xludf.DUMMYFUNCTION("""COMPUTED_VALUE"""),"12.15 PM - 01.10 PM")</f>
        <v>12.15 PM - 01.10 PM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 t="str">
        <f>IFERROR(__xludf.DUMMYFUNCTION("""COMPUTED_VALUE"""),"2:10 - 3:35")</f>
        <v>2:10 - 3:35</v>
      </c>
    </row>
    <row r="19">
      <c r="A19" s="3"/>
      <c r="B19" s="3" t="str">
        <f>IFERROR(__xludf.DUMMYFUNCTION("""COMPUTED_VALUE"""),"01:15 PM - 01.55 PM")</f>
        <v>01:15 PM - 01.55 PM</v>
      </c>
      <c r="C19" s="3" t="str">
        <f>IFERROR(__xludf.DUMMYFUNCTION("""COMPUTED_VALUE"""),"LUNCH BREAK")</f>
        <v>LUNCH BREAK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 t="str">
        <f>IFERROR(__xludf.DUMMYFUNCTION("""COMPUTED_VALUE"""),"3:50 - 5:15")</f>
        <v>3:50 - 5:15</v>
      </c>
    </row>
    <row r="20">
      <c r="A20" s="3"/>
      <c r="B20" s="3" t="str">
        <f>IFERROR(__xludf.DUMMYFUNCTION("""COMPUTED_VALUE"""),"01:00 PM - 01.55 PM")</f>
        <v>01:00 PM - 01.55 PM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 t="str">
        <f>IFERROR(__xludf.DUMMYFUNCTION("""COMPUTED_VALUE"""),"02.00 PM - 02.55 PM")</f>
        <v>02.00 PM - 02.55 PM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 t="str">
        <f>IFERROR(__xludf.DUMMYFUNCTION("""COMPUTED_VALUE"""),"Tuesday")</f>
        <v>Tuesday</v>
      </c>
      <c r="Z21" s="3" t="str">
        <f>IFERROR(__xludf.DUMMYFUNCTION("""COMPUTED_VALUE"""),"9:00 - 10:30")</f>
        <v>9:00 - 10:30</v>
      </c>
    </row>
    <row r="22">
      <c r="A22" s="3"/>
      <c r="B22" s="3" t="str">
        <f>IFERROR(__xludf.DUMMYFUNCTION("""COMPUTED_VALUE"""),"03.00 PM - 03.55 PM")</f>
        <v>03.00 PM - 03.55 PM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 t="str">
        <f>IFERROR(__xludf.DUMMYFUNCTION("""COMPUTED_VALUE"""),"10:40 - 12:10")</f>
        <v>10:40 - 12:10</v>
      </c>
    </row>
    <row r="23">
      <c r="A23" s="3"/>
      <c r="B23" s="3" t="str">
        <f>IFERROR(__xludf.DUMMYFUNCTION("""COMPUTED_VALUE"""),"04.00 PM - 04.55 PM")</f>
        <v>04.00 PM - 04.55 PM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 t="str">
        <f>IFERROR(__xludf.DUMMYFUNCTION("""COMPUTED_VALUE"""),"12:20 - 1:40")</f>
        <v>12:20 - 1:40</v>
      </c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tr">
        <f>IFERROR(__xludf.DUMMYFUNCTION("""COMPUTED_VALUE"""),"Wednesday")</f>
        <v>Wednesday</v>
      </c>
      <c r="B25" s="3" t="str">
        <f>IFERROR(__xludf.DUMMYFUNCTION("""COMPUTED_VALUE"""),"09:15 AM -  10:10 AM")</f>
        <v>09:15 AM -  10:10 AM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 t="str">
        <f>IFERROR(__xludf.DUMMYFUNCTION("""COMPUTED_VALUE"""),"2:10 - 3:35")</f>
        <v>2:10 - 3:35</v>
      </c>
    </row>
    <row r="26">
      <c r="A26" s="3"/>
      <c r="B26" s="3" t="str">
        <f>IFERROR(__xludf.DUMMYFUNCTION("""COMPUTED_VALUE"""),"10:15 AM -  11:10 AM")</f>
        <v>10:15 AM -  11:10 AM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 t="str">
        <f>IFERROR(__xludf.DUMMYFUNCTION("""COMPUTED_VALUE"""),"3:50 - 5:15")</f>
        <v>3:50 - 5:15</v>
      </c>
    </row>
    <row r="27">
      <c r="A27" s="3"/>
      <c r="B27" s="3" t="str">
        <f>IFERROR(__xludf.DUMMYFUNCTION("""COMPUTED_VALUE"""),"11.15 AM - 12.10 PM")</f>
        <v>11.15 AM - 12.10 PM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 t="str">
        <f>IFERROR(__xludf.DUMMYFUNCTION("""COMPUTED_VALUE"""),"12:15 PM -  12:55 PM")</f>
        <v>12:15 PM -  12:55 PM</v>
      </c>
      <c r="C28" s="3" t="str">
        <f>IFERROR(__xludf.DUMMYFUNCTION("""COMPUTED_VALUE"""),"LUNCH BREAK")</f>
        <v>LUNCH BREAK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 t="str">
        <f>IFERROR(__xludf.DUMMYFUNCTION("""COMPUTED_VALUE"""),"Wednesday")</f>
        <v>Wednesday</v>
      </c>
      <c r="Z28" s="3" t="str">
        <f>IFERROR(__xludf.DUMMYFUNCTION("""COMPUTED_VALUE"""),"9:00 - 10:30")</f>
        <v>9:00 - 10:30</v>
      </c>
    </row>
    <row r="29">
      <c r="A29" s="3"/>
      <c r="B29" s="3" t="str">
        <f>IFERROR(__xludf.DUMMYFUNCTION("""COMPUTED_VALUE"""),"12.15 PM - 01.10 PM")</f>
        <v>12.15 PM - 01.10 PM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 t="str">
        <f>IFERROR(__xludf.DUMMYFUNCTION("""COMPUTED_VALUE"""),"10:40 - 12:10")</f>
        <v>10:40 - 12:10</v>
      </c>
    </row>
    <row r="30">
      <c r="A30" s="3"/>
      <c r="B30" s="3" t="str">
        <f>IFERROR(__xludf.DUMMYFUNCTION("""COMPUTED_VALUE"""),"01:15 PM - 01.55 PM")</f>
        <v>01:15 PM - 01.55 PM</v>
      </c>
      <c r="C30" s="3" t="str">
        <f>IFERROR(__xludf.DUMMYFUNCTION("""COMPUTED_VALUE"""),"LUNCH BREAK")</f>
        <v>LUNCH BREAK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 t="str">
        <f>IFERROR(__xludf.DUMMYFUNCTION("""COMPUTED_VALUE"""),"12:20 - 1:40")</f>
        <v>12:20 - 1:40</v>
      </c>
    </row>
    <row r="31">
      <c r="A31" s="3"/>
      <c r="B31" s="3" t="str">
        <f>IFERROR(__xludf.DUMMYFUNCTION("""COMPUTED_VALUE"""),"01:00 PM - 01.55 PM")</f>
        <v>01:00 PM - 01.55 PM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 t="str">
        <f>IFERROR(__xludf.DUMMYFUNCTION("""COMPUTED_VALUE"""),"2:10 - 3:35")</f>
        <v>2:10 - 3:35</v>
      </c>
    </row>
    <row r="32">
      <c r="A32" s="3"/>
      <c r="B32" s="3" t="str">
        <f>IFERROR(__xludf.DUMMYFUNCTION("""COMPUTED_VALUE"""),"02.00 PM - 02.55 PM")</f>
        <v>02.00 PM - 02.55 PM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tr">
        <f>IFERROR(__xludf.DUMMYFUNCTION("""COMPUTED_VALUE"""),"3:50 - 5:15")</f>
        <v>3:50 - 5:15</v>
      </c>
    </row>
    <row r="33">
      <c r="A33" s="3"/>
      <c r="B33" s="3" t="str">
        <f>IFERROR(__xludf.DUMMYFUNCTION("""COMPUTED_VALUE"""),"03.00 PM - 03.55 PM")</f>
        <v>03.00 PM - 03.55 PM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 t="str">
        <f>IFERROR(__xludf.DUMMYFUNCTION("""COMPUTED_VALUE"""),"04.00 PM - 04.55 PM")</f>
        <v>04.00 PM - 04.55 PM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 t="str">
        <f>IFERROR(__xludf.DUMMYFUNCTION("""COMPUTED_VALUE"""),"Thursday")</f>
        <v>Thursday</v>
      </c>
      <c r="Z34" s="3" t="str">
        <f>IFERROR(__xludf.DUMMYFUNCTION("""COMPUTED_VALUE"""),"9:00 - 10:30")</f>
        <v>9:00 - 10:30</v>
      </c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tr">
        <f>IFERROR(__xludf.DUMMYFUNCTION("""COMPUTED_VALUE"""),"Thursday")</f>
        <v>Thursday</v>
      </c>
      <c r="B36" s="3" t="str">
        <f>IFERROR(__xludf.DUMMYFUNCTION("""COMPUTED_VALUE"""),"09:15 AM -  10:10 AM")</f>
        <v>09:15 AM -  10:10 AM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 t="str">
        <f>IFERROR(__xludf.DUMMYFUNCTION("""COMPUTED_VALUE"""),"10:40 - 12:10")</f>
        <v>10:40 - 12:10</v>
      </c>
    </row>
    <row r="37">
      <c r="A37" s="3"/>
      <c r="B37" s="3" t="str">
        <f>IFERROR(__xludf.DUMMYFUNCTION("""COMPUTED_VALUE"""),"10:15 AM -  11:10 AM")</f>
        <v>10:15 AM -  11:10 AM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 t="str">
        <f>IFERROR(__xludf.DUMMYFUNCTION("""COMPUTED_VALUE"""),"12:20 - 1:40")</f>
        <v>12:20 - 1:40</v>
      </c>
    </row>
    <row r="38">
      <c r="A38" s="3"/>
      <c r="B38" s="3" t="str">
        <f>IFERROR(__xludf.DUMMYFUNCTION("""COMPUTED_VALUE"""),"11.15 AM - 12.10 PM")</f>
        <v>11.15 AM - 12.10 PM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 t="str">
        <f>IFERROR(__xludf.DUMMYFUNCTION("""COMPUTED_VALUE"""),"2:10 - 3:35")</f>
        <v>2:10 - 3:35</v>
      </c>
    </row>
    <row r="39">
      <c r="A39" s="3"/>
      <c r="B39" s="3" t="str">
        <f>IFERROR(__xludf.DUMMYFUNCTION("""COMPUTED_VALUE"""),"12:15 PM -  12:55 PM")</f>
        <v>12:15 PM -  12:55 PM</v>
      </c>
      <c r="C39" s="3" t="str">
        <f>IFERROR(__xludf.DUMMYFUNCTION("""COMPUTED_VALUE"""),"LUNCH BREAK")</f>
        <v>LUNCH BREAK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 t="str">
        <f>IFERROR(__xludf.DUMMYFUNCTION("""COMPUTED_VALUE"""),"3:50 - 5:15")</f>
        <v>3:50 - 5:15</v>
      </c>
    </row>
    <row r="40">
      <c r="A40" s="3"/>
      <c r="B40" s="3" t="str">
        <f>IFERROR(__xludf.DUMMYFUNCTION("""COMPUTED_VALUE"""),"12.15 PM - 01.10 PM")</f>
        <v>12.15 PM - 01.10 PM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 t="str">
        <f>IFERROR(__xludf.DUMMYFUNCTION("""COMPUTED_VALUE"""),"01:15 PM - 01.55 PM")</f>
        <v>01:15 PM - 01.55 PM</v>
      </c>
      <c r="C41" s="3" t="str">
        <f>IFERROR(__xludf.DUMMYFUNCTION("""COMPUTED_VALUE"""),"LUNCH BREAK")</f>
        <v>LUNCH BREAK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 t="str">
        <f>IFERROR(__xludf.DUMMYFUNCTION("""COMPUTED_VALUE"""),"Friday")</f>
        <v>Friday</v>
      </c>
      <c r="Z41" s="3" t="str">
        <f>IFERROR(__xludf.DUMMYFUNCTION("""COMPUTED_VALUE"""),"9:00 - 10:30")</f>
        <v>9:00 - 10:30</v>
      </c>
    </row>
    <row r="42">
      <c r="A42" s="3"/>
      <c r="B42" s="3" t="str">
        <f>IFERROR(__xludf.DUMMYFUNCTION("""COMPUTED_VALUE"""),"01:00 PM - 01.55 PM")</f>
        <v>01:00 PM - 01.55 PM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 t="str">
        <f>IFERROR(__xludf.DUMMYFUNCTION("""COMPUTED_VALUE"""),"10:40 - 12:10")</f>
        <v>10:40 - 12:10</v>
      </c>
    </row>
    <row r="43">
      <c r="A43" s="3"/>
      <c r="B43" s="3" t="str">
        <f>IFERROR(__xludf.DUMMYFUNCTION("""COMPUTED_VALUE"""),"02.00 PM - 02.55 PM")</f>
        <v>02.00 PM - 02.55 PM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 t="str">
        <f>IFERROR(__xludf.DUMMYFUNCTION("""COMPUTED_VALUE"""),"12:20 - 1:40")</f>
        <v>12:20 - 1:40</v>
      </c>
    </row>
    <row r="44">
      <c r="A44" s="3"/>
      <c r="B44" s="3" t="str">
        <f>IFERROR(__xludf.DUMMYFUNCTION("""COMPUTED_VALUE"""),"03.00 PM - 03.55 PM")</f>
        <v>03.00 PM - 03.55 PM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 t="str">
        <f>IFERROR(__xludf.DUMMYFUNCTION("""COMPUTED_VALUE"""),"2:10 - 3:35")</f>
        <v>2:10 - 3:35</v>
      </c>
    </row>
    <row r="45">
      <c r="A45" s="3"/>
      <c r="B45" s="3" t="str">
        <f>IFERROR(__xludf.DUMMYFUNCTION("""COMPUTED_VALUE"""),"04.00 PM - 04.55 PM")</f>
        <v>04.00 PM - 04.55 PM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 t="str">
        <f>IFERROR(__xludf.DUMMYFUNCTION("""COMPUTED_VALUE"""),"3:50 - 5:15")</f>
        <v>3:50 - 5:15</v>
      </c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tr">
        <f>IFERROR(__xludf.DUMMYFUNCTION("""COMPUTED_VALUE"""),"Friday")</f>
        <v>Friday</v>
      </c>
      <c r="B47" s="3" t="str">
        <f>IFERROR(__xludf.DUMMYFUNCTION("""COMPUTED_VALUE"""),"09:15 AM -  10:10 AM")</f>
        <v>09:15 AM -  10:10 AM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 t="str">
        <f>IFERROR(__xludf.DUMMYFUNCTION("""COMPUTED_VALUE"""),"10:15 AM -  11:10 AM")</f>
        <v>10:15 AM -  11:10 AM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 t="str">
        <f>IFERROR(__xludf.DUMMYFUNCTION("""COMPUTED_VALUE"""),"11.15 AM - 12.10 PM")</f>
        <v>11.15 AM - 12.10 PM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 t="str">
        <f>IFERROR(__xludf.DUMMYFUNCTION("""COMPUTED_VALUE"""),"12:15 PM -  12:55 PM")</f>
        <v>12:15 PM -  12:55 PM</v>
      </c>
      <c r="C50" s="3" t="str">
        <f>IFERROR(__xludf.DUMMYFUNCTION("""COMPUTED_VALUE"""),"LUNCH BREAK")</f>
        <v>LUNCH BREAK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 t="str">
        <f>IFERROR(__xludf.DUMMYFUNCTION("""COMPUTED_VALUE"""),"12.15 PM - 01.10 PM")</f>
        <v>12.15 PM - 01.10 PM</v>
      </c>
      <c r="C51" s="3" t="str">
        <f>IFERROR(__xludf.DUMMYFUNCTION("""COMPUTED_VALUE"""),"EFA LAB - Sem1 - Joy")</f>
        <v>EFA LAB - Sem1 - Joy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 t="str">
        <f>IFERROR(__xludf.DUMMYFUNCTION("""COMPUTED_VALUE"""),"01:15 PM - 01.55 PM")</f>
        <v>01:15 PM - 01.55 PM</v>
      </c>
      <c r="C52" s="3" t="str">
        <f>IFERROR(__xludf.DUMMYFUNCTION("""COMPUTED_VALUE"""),"LUNCH BREAK")</f>
        <v>LUNCH BREAK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 t="str">
        <f>IFERROR(__xludf.DUMMYFUNCTION("""COMPUTED_VALUE"""),"01:00 PM - 01.55 PM")</f>
        <v>01:00 PM - 01.55 PM</v>
      </c>
      <c r="C53" s="3" t="str">
        <f>IFERROR(__xludf.DUMMYFUNCTION("""COMPUTED_VALUE"""),"EFA LAB - Sem1 - Joy")</f>
        <v>EFA LAB - Sem1 - Joy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 t="str">
        <f>IFERROR(__xludf.DUMMYFUNCTION("""COMPUTED_VALUE"""),"02.00 PM - 02.55 PM")</f>
        <v>02.00 PM - 02.55 PM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 t="str">
        <f>IFERROR(__xludf.DUMMYFUNCTION("""COMPUTED_VALUE"""),"03.00 PM - 03.55 PM")</f>
        <v>03.00 PM - 03.55 PM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 t="str">
        <f>IFERROR(__xludf.DUMMYFUNCTION("""COMPUTED_VALUE"""),"04.00 PM - 04.55 PM")</f>
        <v>04.00 PM - 04.55 PM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